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mdinw\Desktop\PPCORR Project\PPCORR Version Control\05-02-2024\"/>
    </mc:Choice>
  </mc:AlternateContent>
  <xr:revisionPtr revIDLastSave="0" documentId="13_ncr:1_{97592FD1-23EC-411F-AD3D-4C190DBC31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I21" i="1"/>
  <c r="I22" i="1"/>
  <c r="I23" i="1"/>
  <c r="I24" i="1"/>
  <c r="I25" i="1"/>
  <c r="I26" i="1"/>
  <c r="I27" i="1"/>
  <c r="I28" i="1"/>
  <c r="I29" i="1"/>
  <c r="I30" i="1"/>
  <c r="I19" i="1"/>
  <c r="H20" i="1"/>
  <c r="H21" i="1"/>
  <c r="H22" i="1"/>
  <c r="H23" i="1"/>
  <c r="H24" i="1"/>
  <c r="H25" i="1"/>
  <c r="H26" i="1"/>
  <c r="H27" i="1"/>
  <c r="H28" i="1"/>
  <c r="H29" i="1"/>
  <c r="H30" i="1"/>
  <c r="C37" i="1" s="1"/>
  <c r="H19" i="1"/>
  <c r="H5" i="1"/>
  <c r="H6" i="1"/>
  <c r="H7" i="1"/>
  <c r="H8" i="1"/>
  <c r="H9" i="1"/>
  <c r="H10" i="1"/>
  <c r="H11" i="1"/>
  <c r="H12" i="1"/>
  <c r="H13" i="1"/>
  <c r="H14" i="1"/>
  <c r="H4" i="1"/>
  <c r="C35" i="1" s="1"/>
  <c r="I4" i="1"/>
  <c r="I5" i="1"/>
  <c r="I6" i="1"/>
  <c r="I7" i="1"/>
  <c r="I8" i="1"/>
  <c r="I9" i="1"/>
  <c r="I11" i="1"/>
  <c r="I13" i="1"/>
  <c r="I3" i="1"/>
  <c r="H3" i="1"/>
  <c r="C34" i="1" l="1"/>
  <c r="C36" i="1"/>
</calcChain>
</file>

<file path=xl/sharedStrings.xml><?xml version="1.0" encoding="utf-8"?>
<sst xmlns="http://schemas.openxmlformats.org/spreadsheetml/2006/main" count="110" uniqueCount="50">
  <si>
    <t>Method</t>
  </si>
  <si>
    <t>Pearson</t>
  </si>
  <si>
    <t>Spearman</t>
  </si>
  <si>
    <t>Kendall</t>
  </si>
  <si>
    <t>Unadjusted</t>
  </si>
  <si>
    <t>Correlation Type</t>
  </si>
  <si>
    <t>Adjusted</t>
  </si>
  <si>
    <t>Parametric</t>
  </si>
  <si>
    <t>Bootstrap</t>
  </si>
  <si>
    <t>Computation</t>
  </si>
  <si>
    <t>Correlation</t>
  </si>
  <si>
    <t>P-Value</t>
  </si>
  <si>
    <t>Lower Bound</t>
  </si>
  <si>
    <t>Upper Bound</t>
  </si>
  <si>
    <t>Test Set Metadata</t>
  </si>
  <si>
    <t>N</t>
  </si>
  <si>
    <t>Raw Cor.</t>
  </si>
  <si>
    <t>Adj. Cor</t>
  </si>
  <si>
    <t>p-val</t>
  </si>
  <si>
    <t>0.9182 </t>
  </si>
  <si>
    <t>Test Set 1 (n = 30)</t>
  </si>
  <si>
    <t>Test Set 2 (n = 100)</t>
  </si>
  <si>
    <t>0.8603 </t>
  </si>
  <si>
    <t>CI Width</t>
  </si>
  <si>
    <t>Significant?</t>
  </si>
  <si>
    <t>0.7011 </t>
  </si>
  <si>
    <t>0.0904 </t>
  </si>
  <si>
    <t>-0.1972 </t>
  </si>
  <si>
    <t>method</t>
  </si>
  <si>
    <t>pearson</t>
  </si>
  <si>
    <t>0.7885 </t>
  </si>
  <si>
    <t>0.766 </t>
  </si>
  <si>
    <t>0.5818 </t>
  </si>
  <si>
    <t>0.1647 </t>
  </si>
  <si>
    <t>Test Set</t>
  </si>
  <si>
    <t>n = 30</t>
  </si>
  <si>
    <t>n = 100</t>
  </si>
  <si>
    <t>Summary</t>
  </si>
  <si>
    <t>Sum of CI Width</t>
  </si>
  <si>
    <t>Parametric Wins!</t>
  </si>
  <si>
    <t>So close, basically a tie.</t>
  </si>
  <si>
    <t>Key Takeaway: Parametric seems to work better when N is small.</t>
  </si>
  <si>
    <t>N will be small for this calculator's use case. Therefore, let's use parametric.</t>
  </si>
  <si>
    <t>Follow up to look at Type I error</t>
  </si>
  <si>
    <t>&gt; Put current simulation code within a for loop</t>
  </si>
  <si>
    <t>&gt; 10K reps</t>
  </si>
  <si>
    <t>&gt; divide the count by 10K</t>
  </si>
  <si>
    <t>&gt; return the upper and lower bound of the CI for each simulation</t>
  </si>
  <si>
    <t>&gt; count how many of the upper and lower bounds do NOT contain 0</t>
  </si>
  <si>
    <t>&gt; superior method will be closer to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</si>
</sst>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C3E5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11" fontId="0" fillId="0" borderId="0" xfId="0" applyNumberFormat="1"/>
    <xf numFmtId="11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1" fillId="0" borderId="1" xfId="0" applyFont="1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2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1" fillId="0" borderId="1" xfId="0" applyFont="1" applyBorder="1" applyAlignment="1">
      <alignment horizontal="left" vertical="top"/>
    </xf>
    <xf numFmtId="11" fontId="4" fillId="0" borderId="2" xfId="0" applyNumberFormat="1" applyFont="1" applyBorder="1" applyAlignment="1">
      <alignment horizontal="left" vertical="top"/>
    </xf>
    <xf numFmtId="11" fontId="4" fillId="0" borderId="1" xfId="0" applyNumberFormat="1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1" fontId="2" fillId="0" borderId="2" xfId="0" applyNumberFormat="1" applyFont="1" applyBorder="1" applyAlignment="1">
      <alignment horizontal="left" vertical="top"/>
    </xf>
    <xf numFmtId="11" fontId="2" fillId="0" borderId="1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quotePrefix="1" applyFont="1" applyBorder="1" applyAlignment="1">
      <alignment horizontal="left" vertical="top"/>
    </xf>
    <xf numFmtId="0" fontId="2" fillId="0" borderId="1" xfId="0" quotePrefix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topLeftCell="A25" workbookViewId="0">
      <selection activeCell="F45" sqref="F45"/>
    </sheetView>
  </sheetViews>
  <sheetFormatPr defaultRowHeight="14.4" x14ac:dyDescent="0.3"/>
  <cols>
    <col min="1" max="1" width="17.44140625" customWidth="1"/>
    <col min="2" max="3" width="16.77734375" customWidth="1"/>
    <col min="4" max="4" width="13.109375" customWidth="1"/>
    <col min="5" max="5" width="14.88671875" customWidth="1"/>
    <col min="6" max="6" width="17.33203125" customWidth="1"/>
    <col min="7" max="7" width="17.5546875" customWidth="1"/>
    <col min="8" max="8" width="14.33203125" customWidth="1"/>
    <col min="9" max="9" width="15" customWidth="1"/>
    <col min="10" max="10" width="5.33203125" customWidth="1"/>
    <col min="11" max="11" width="14.6640625" customWidth="1"/>
    <col min="12" max="12" width="10" customWidth="1"/>
    <col min="14" max="14" width="12.88671875" customWidth="1"/>
    <col min="15" max="15" width="11.88671875" customWidth="1"/>
    <col min="16" max="16" width="13" customWidth="1"/>
    <col min="17" max="17" width="11" customWidth="1"/>
    <col min="18" max="18" width="12.21875" customWidth="1"/>
  </cols>
  <sheetData>
    <row r="1" spans="1:14" x14ac:dyDescent="0.3">
      <c r="A1" s="10" t="s">
        <v>20</v>
      </c>
      <c r="B1" s="11"/>
      <c r="C1" s="11"/>
      <c r="D1" s="11"/>
      <c r="E1" s="11"/>
      <c r="F1" s="8"/>
      <c r="G1" s="8"/>
      <c r="H1" s="8"/>
      <c r="I1" s="8"/>
      <c r="J1" s="8"/>
      <c r="K1" s="8"/>
    </row>
    <row r="2" spans="1:14" x14ac:dyDescent="0.3">
      <c r="A2" s="17" t="s">
        <v>5</v>
      </c>
      <c r="B2" s="17" t="s">
        <v>0</v>
      </c>
      <c r="C2" s="17" t="s">
        <v>10</v>
      </c>
      <c r="D2" s="17" t="s">
        <v>11</v>
      </c>
      <c r="E2" s="18" t="s">
        <v>9</v>
      </c>
      <c r="F2" s="18" t="s">
        <v>12</v>
      </c>
      <c r="G2" s="18" t="s">
        <v>13</v>
      </c>
      <c r="H2" s="18" t="s">
        <v>23</v>
      </c>
      <c r="I2" s="18" t="s">
        <v>24</v>
      </c>
      <c r="K2" s="1" t="s">
        <v>14</v>
      </c>
      <c r="L2" s="1"/>
    </row>
    <row r="3" spans="1:14" x14ac:dyDescent="0.3">
      <c r="A3" s="30" t="s">
        <v>4</v>
      </c>
      <c r="B3" s="30" t="s">
        <v>1</v>
      </c>
      <c r="C3" s="30" t="s">
        <v>19</v>
      </c>
      <c r="D3" s="28">
        <v>8.8399999999999997E-13</v>
      </c>
      <c r="E3" s="21" t="s">
        <v>8</v>
      </c>
      <c r="F3" s="8">
        <v>0.82150000000000001</v>
      </c>
      <c r="G3" s="8">
        <v>0.96220000000000006</v>
      </c>
      <c r="H3" s="8">
        <f>G3-F3</f>
        <v>0.14070000000000005</v>
      </c>
      <c r="I3" s="8">
        <f t="shared" ref="I3:I14" si="0">IF(D3&lt;0.05, 1, 0)</f>
        <v>1</v>
      </c>
      <c r="K3" s="7" t="s">
        <v>15</v>
      </c>
      <c r="L3" s="7" t="s">
        <v>16</v>
      </c>
      <c r="M3" s="7" t="s">
        <v>18</v>
      </c>
      <c r="N3" s="7" t="s">
        <v>28</v>
      </c>
    </row>
    <row r="4" spans="1:14" x14ac:dyDescent="0.3">
      <c r="A4" s="34"/>
      <c r="B4" s="34"/>
      <c r="C4" s="31"/>
      <c r="D4" s="29"/>
      <c r="E4" s="9" t="s">
        <v>7</v>
      </c>
      <c r="F4" s="9">
        <v>0.8337</v>
      </c>
      <c r="G4" s="9">
        <v>0.9607</v>
      </c>
      <c r="H4" s="9">
        <f>G4-F4</f>
        <v>0.127</v>
      </c>
      <c r="I4" s="9">
        <f t="shared" si="0"/>
        <v>1</v>
      </c>
      <c r="K4" s="4">
        <v>30</v>
      </c>
      <c r="L4" s="4">
        <v>0.91821779999999997</v>
      </c>
      <c r="M4" s="6">
        <v>8.8450000000000002E-13</v>
      </c>
      <c r="N4" s="4" t="s">
        <v>29</v>
      </c>
    </row>
    <row r="5" spans="1:14" x14ac:dyDescent="0.3">
      <c r="A5" s="34"/>
      <c r="B5" s="34" t="s">
        <v>2</v>
      </c>
      <c r="C5" s="30" t="s">
        <v>22</v>
      </c>
      <c r="D5" s="28">
        <v>1.0999999999999999E-9</v>
      </c>
      <c r="E5" s="21" t="s">
        <v>8</v>
      </c>
      <c r="F5" s="8">
        <v>0.67049999999999998</v>
      </c>
      <c r="G5" s="8">
        <v>0.95430000000000004</v>
      </c>
      <c r="H5" s="8">
        <f t="shared" ref="H5:H14" si="1">G5-F5</f>
        <v>0.28380000000000005</v>
      </c>
      <c r="I5" s="8">
        <f t="shared" si="0"/>
        <v>1</v>
      </c>
    </row>
    <row r="6" spans="1:14" x14ac:dyDescent="0.3">
      <c r="A6" s="34"/>
      <c r="B6" s="34"/>
      <c r="C6" s="31"/>
      <c r="D6" s="29"/>
      <c r="E6" s="9" t="s">
        <v>7</v>
      </c>
      <c r="F6" s="9">
        <v>0.93979999999999997</v>
      </c>
      <c r="G6" s="9">
        <v>0.99529999999999996</v>
      </c>
      <c r="H6" s="9">
        <f t="shared" si="1"/>
        <v>5.5499999999999994E-2</v>
      </c>
      <c r="I6" s="9">
        <f t="shared" si="0"/>
        <v>1</v>
      </c>
      <c r="L6" s="7" t="s">
        <v>17</v>
      </c>
      <c r="M6" s="7" t="s">
        <v>18</v>
      </c>
      <c r="N6" s="7" t="s">
        <v>28</v>
      </c>
    </row>
    <row r="7" spans="1:14" x14ac:dyDescent="0.3">
      <c r="A7" s="34"/>
      <c r="B7" s="34" t="s">
        <v>3</v>
      </c>
      <c r="C7" s="30" t="s">
        <v>25</v>
      </c>
      <c r="D7" s="28">
        <v>5.2800000000000003E-8</v>
      </c>
      <c r="E7" s="21" t="s">
        <v>8</v>
      </c>
      <c r="F7" s="8">
        <v>0.48330000000000001</v>
      </c>
      <c r="G7" s="8">
        <v>0.83620000000000005</v>
      </c>
      <c r="H7" s="8">
        <f t="shared" si="1"/>
        <v>0.35290000000000005</v>
      </c>
      <c r="I7" s="8">
        <f t="shared" si="0"/>
        <v>1</v>
      </c>
      <c r="L7" s="4">
        <v>-0.1972111</v>
      </c>
      <c r="M7" s="4">
        <v>0.29620000000000002</v>
      </c>
      <c r="N7" s="4" t="s">
        <v>29</v>
      </c>
    </row>
    <row r="8" spans="1:14" x14ac:dyDescent="0.3">
      <c r="A8" s="31"/>
      <c r="B8" s="31"/>
      <c r="C8" s="31"/>
      <c r="D8" s="29"/>
      <c r="E8" s="9" t="s">
        <v>7</v>
      </c>
      <c r="F8" s="9">
        <v>0.54790000000000005</v>
      </c>
      <c r="G8" s="9">
        <v>0.80879999999999996</v>
      </c>
      <c r="H8" s="9">
        <f t="shared" si="1"/>
        <v>0.26089999999999991</v>
      </c>
      <c r="I8" s="9">
        <f t="shared" si="0"/>
        <v>1</v>
      </c>
    </row>
    <row r="9" spans="1:14" x14ac:dyDescent="0.3">
      <c r="A9" s="30" t="s">
        <v>6</v>
      </c>
      <c r="B9" s="30" t="s">
        <v>1</v>
      </c>
      <c r="C9" s="32" t="s">
        <v>27</v>
      </c>
      <c r="D9" s="28">
        <v>0.30499999999999999</v>
      </c>
      <c r="E9" s="21" t="s">
        <v>8</v>
      </c>
      <c r="F9" s="8">
        <v>-0.4582</v>
      </c>
      <c r="G9" s="8">
        <v>0.188</v>
      </c>
      <c r="H9" s="8">
        <f t="shared" si="1"/>
        <v>0.6462</v>
      </c>
      <c r="I9" s="8">
        <f t="shared" si="0"/>
        <v>0</v>
      </c>
    </row>
    <row r="10" spans="1:14" x14ac:dyDescent="0.3">
      <c r="A10" s="34"/>
      <c r="B10" s="34"/>
      <c r="C10" s="33"/>
      <c r="D10" s="29"/>
      <c r="E10" s="9" t="s">
        <v>7</v>
      </c>
      <c r="F10" s="9">
        <v>-0.52049999999999996</v>
      </c>
      <c r="G10" s="9">
        <v>0.17549999999999999</v>
      </c>
      <c r="H10" s="9">
        <f t="shared" si="1"/>
        <v>0.69599999999999995</v>
      </c>
      <c r="I10" s="9"/>
    </row>
    <row r="11" spans="1:14" x14ac:dyDescent="0.3">
      <c r="A11" s="34"/>
      <c r="B11" s="34" t="s">
        <v>2</v>
      </c>
      <c r="C11" s="30">
        <v>-0.1157</v>
      </c>
      <c r="D11" s="28">
        <v>0.55000000000000004</v>
      </c>
      <c r="E11" s="21" t="s">
        <v>8</v>
      </c>
      <c r="F11" s="8">
        <v>-0.62880000000000003</v>
      </c>
      <c r="G11" s="8">
        <v>0.45669999999999999</v>
      </c>
      <c r="H11" s="8">
        <f t="shared" si="1"/>
        <v>1.0855000000000001</v>
      </c>
      <c r="I11" s="8">
        <f t="shared" si="0"/>
        <v>0</v>
      </c>
    </row>
    <row r="12" spans="1:14" x14ac:dyDescent="0.3">
      <c r="A12" s="34"/>
      <c r="B12" s="34"/>
      <c r="C12" s="31"/>
      <c r="D12" s="29"/>
      <c r="E12" s="9" t="s">
        <v>7</v>
      </c>
      <c r="F12" s="9">
        <v>-0.45789999999999997</v>
      </c>
      <c r="G12" s="9">
        <v>0.25640000000000002</v>
      </c>
      <c r="H12" s="9">
        <f t="shared" si="1"/>
        <v>0.71429999999999993</v>
      </c>
      <c r="I12" s="9"/>
    </row>
    <row r="13" spans="1:14" x14ac:dyDescent="0.3">
      <c r="A13" s="34"/>
      <c r="B13" s="34" t="s">
        <v>3</v>
      </c>
      <c r="C13" s="30" t="s">
        <v>26</v>
      </c>
      <c r="D13" s="28">
        <v>0.49099999999999999</v>
      </c>
      <c r="E13" s="8" t="s">
        <v>8</v>
      </c>
      <c r="F13" s="8">
        <v>-7.1499999999999994E-2</v>
      </c>
      <c r="G13" s="8">
        <v>0.43609999999999999</v>
      </c>
      <c r="H13" s="8">
        <f t="shared" si="1"/>
        <v>0.50759999999999994</v>
      </c>
      <c r="I13" s="8">
        <f t="shared" si="0"/>
        <v>0</v>
      </c>
    </row>
    <row r="14" spans="1:14" x14ac:dyDescent="0.3">
      <c r="A14" s="31"/>
      <c r="B14" s="31"/>
      <c r="C14" s="31"/>
      <c r="D14" s="29"/>
      <c r="E14" s="9" t="s">
        <v>7</v>
      </c>
      <c r="F14" s="9">
        <v>-0.16200000000000001</v>
      </c>
      <c r="G14" s="9">
        <v>0.33169999999999999</v>
      </c>
      <c r="H14" s="9">
        <f t="shared" si="1"/>
        <v>0.49370000000000003</v>
      </c>
      <c r="I14" s="9"/>
    </row>
    <row r="15" spans="1:14" x14ac:dyDescent="0.3">
      <c r="A15" s="3"/>
      <c r="B15" s="3"/>
      <c r="C15" s="3"/>
      <c r="D15" s="3"/>
      <c r="F15" s="4"/>
      <c r="G15" s="4"/>
      <c r="H15" s="4"/>
      <c r="I15" s="4"/>
      <c r="J15" s="4"/>
      <c r="K15" s="4"/>
    </row>
    <row r="16" spans="1:14" x14ac:dyDescent="0.3">
      <c r="F16" s="4"/>
      <c r="G16" s="4"/>
      <c r="H16" s="4"/>
      <c r="I16" s="4"/>
      <c r="J16" s="4"/>
      <c r="K16" s="4"/>
    </row>
    <row r="17" spans="1:14" x14ac:dyDescent="0.3">
      <c r="A17" s="1" t="s">
        <v>21</v>
      </c>
      <c r="F17" s="4"/>
      <c r="G17" s="4"/>
      <c r="H17" s="4"/>
      <c r="I17" s="4"/>
      <c r="J17" s="4"/>
      <c r="K17" s="4"/>
    </row>
    <row r="18" spans="1:14" x14ac:dyDescent="0.3">
      <c r="A18" s="14" t="s">
        <v>5</v>
      </c>
      <c r="B18" s="14" t="s">
        <v>0</v>
      </c>
      <c r="C18" s="23" t="s">
        <v>10</v>
      </c>
      <c r="D18" s="23" t="s">
        <v>11</v>
      </c>
      <c r="E18" s="19" t="s">
        <v>9</v>
      </c>
      <c r="F18" s="19" t="s">
        <v>12</v>
      </c>
      <c r="G18" s="19" t="s">
        <v>13</v>
      </c>
      <c r="H18" s="19" t="s">
        <v>23</v>
      </c>
      <c r="I18" s="19" t="s">
        <v>24</v>
      </c>
      <c r="K18" s="1" t="s">
        <v>14</v>
      </c>
      <c r="L18" s="1"/>
    </row>
    <row r="19" spans="1:14" x14ac:dyDescent="0.3">
      <c r="A19" s="35" t="s">
        <v>4</v>
      </c>
      <c r="B19" s="35" t="s">
        <v>1</v>
      </c>
      <c r="C19" s="26" t="s">
        <v>30</v>
      </c>
      <c r="D19" s="24">
        <v>2.0700000000000001E-22</v>
      </c>
      <c r="E19" s="22" t="s">
        <v>8</v>
      </c>
      <c r="F19" s="12">
        <v>0.70820000000000005</v>
      </c>
      <c r="G19" s="12">
        <v>0.85040000000000004</v>
      </c>
      <c r="H19" s="4">
        <f>G19-F19</f>
        <v>0.14219999999999999</v>
      </c>
      <c r="I19" s="4">
        <f t="shared" ref="I19:I30" si="2">IF(D19&lt;0.05, 1, 0)</f>
        <v>1</v>
      </c>
      <c r="K19" s="7" t="s">
        <v>15</v>
      </c>
      <c r="L19" s="7" t="s">
        <v>16</v>
      </c>
      <c r="M19" s="7" t="s">
        <v>18</v>
      </c>
      <c r="N19" s="7" t="s">
        <v>28</v>
      </c>
    </row>
    <row r="20" spans="1:14" x14ac:dyDescent="0.3">
      <c r="A20" s="36"/>
      <c r="B20" s="36"/>
      <c r="C20" s="27"/>
      <c r="D20" s="25"/>
      <c r="E20" s="7" t="s">
        <v>7</v>
      </c>
      <c r="F20" s="13">
        <v>0.7006</v>
      </c>
      <c r="G20" s="13">
        <v>0.8528</v>
      </c>
      <c r="H20" s="7">
        <f t="shared" ref="H20:H30" si="3">G20-F20</f>
        <v>0.1522</v>
      </c>
      <c r="I20" s="7">
        <f t="shared" si="2"/>
        <v>1</v>
      </c>
      <c r="K20">
        <v>100</v>
      </c>
      <c r="L20">
        <v>0.78853269999999998</v>
      </c>
      <c r="M20" s="5">
        <v>2.2E-16</v>
      </c>
      <c r="N20" s="4" t="s">
        <v>29</v>
      </c>
    </row>
    <row r="21" spans="1:14" x14ac:dyDescent="0.3">
      <c r="A21" s="36"/>
      <c r="B21" s="36" t="s">
        <v>2</v>
      </c>
      <c r="C21" s="26" t="s">
        <v>31</v>
      </c>
      <c r="D21" s="24">
        <v>1.64E-20</v>
      </c>
      <c r="E21" s="22" t="s">
        <v>8</v>
      </c>
      <c r="F21" s="12">
        <v>0.65439999999999998</v>
      </c>
      <c r="G21" s="12">
        <v>0.85409999999999997</v>
      </c>
      <c r="H21" s="4">
        <f t="shared" si="3"/>
        <v>0.19969999999999999</v>
      </c>
      <c r="I21" s="4">
        <f t="shared" si="2"/>
        <v>1</v>
      </c>
    </row>
    <row r="22" spans="1:14" x14ac:dyDescent="0.3">
      <c r="A22" s="36"/>
      <c r="B22" s="36"/>
      <c r="C22" s="27"/>
      <c r="D22" s="25"/>
      <c r="E22" s="7" t="s">
        <v>7</v>
      </c>
      <c r="F22" s="13">
        <v>0.65510000000000002</v>
      </c>
      <c r="G22" s="13">
        <v>0.84460000000000002</v>
      </c>
      <c r="H22" s="7">
        <f t="shared" si="3"/>
        <v>0.1895</v>
      </c>
      <c r="I22" s="7">
        <f t="shared" si="2"/>
        <v>1</v>
      </c>
      <c r="L22" s="7" t="s">
        <v>17</v>
      </c>
      <c r="M22" s="7" t="s">
        <v>18</v>
      </c>
      <c r="N22" s="7" t="s">
        <v>28</v>
      </c>
    </row>
    <row r="23" spans="1:14" x14ac:dyDescent="0.3">
      <c r="A23" s="36"/>
      <c r="B23" s="36" t="s">
        <v>3</v>
      </c>
      <c r="C23" s="26" t="s">
        <v>32</v>
      </c>
      <c r="D23" s="24">
        <v>9.7400000000000006E-18</v>
      </c>
      <c r="E23" s="22" t="s">
        <v>8</v>
      </c>
      <c r="F23" s="12">
        <v>0.47849999999999998</v>
      </c>
      <c r="G23" s="12">
        <v>0.67449999999999999</v>
      </c>
      <c r="H23" s="4">
        <f t="shared" si="3"/>
        <v>0.19600000000000001</v>
      </c>
      <c r="I23" s="4">
        <f t="shared" si="2"/>
        <v>1</v>
      </c>
      <c r="L23">
        <v>-3.1777619999999999E-2</v>
      </c>
      <c r="M23">
        <v>0.75360000000000005</v>
      </c>
      <c r="N23" s="4" t="s">
        <v>29</v>
      </c>
    </row>
    <row r="24" spans="1:14" x14ac:dyDescent="0.3">
      <c r="A24" s="37"/>
      <c r="B24" s="37"/>
      <c r="C24" s="27"/>
      <c r="D24" s="25"/>
      <c r="E24" s="7" t="s">
        <v>7</v>
      </c>
      <c r="F24" s="13">
        <v>0.48759999999999998</v>
      </c>
      <c r="G24" s="13">
        <v>0.66259999999999997</v>
      </c>
      <c r="H24" s="7">
        <f t="shared" si="3"/>
        <v>0.17499999999999999</v>
      </c>
      <c r="I24" s="7">
        <f t="shared" si="2"/>
        <v>1</v>
      </c>
    </row>
    <row r="25" spans="1:14" x14ac:dyDescent="0.3">
      <c r="A25" s="35" t="s">
        <v>6</v>
      </c>
      <c r="B25" s="35" t="s">
        <v>1</v>
      </c>
      <c r="C25" s="26">
        <v>-3.1800000000000002E-2</v>
      </c>
      <c r="D25" s="24">
        <v>0.755</v>
      </c>
      <c r="E25" s="22" t="s">
        <v>8</v>
      </c>
      <c r="F25" s="12">
        <v>-0.2157</v>
      </c>
      <c r="G25" s="12">
        <v>0.16880000000000001</v>
      </c>
      <c r="H25" s="4">
        <f t="shared" si="3"/>
        <v>0.38450000000000001</v>
      </c>
      <c r="I25" s="4">
        <f t="shared" si="2"/>
        <v>0</v>
      </c>
    </row>
    <row r="26" spans="1:14" x14ac:dyDescent="0.3">
      <c r="A26" s="36"/>
      <c r="B26" s="36"/>
      <c r="C26" s="27"/>
      <c r="D26" s="25"/>
      <c r="E26" s="7" t="s">
        <v>7</v>
      </c>
      <c r="F26" s="13">
        <v>-0.2268</v>
      </c>
      <c r="G26" s="13">
        <v>0.16569999999999999</v>
      </c>
      <c r="H26" s="7">
        <f t="shared" si="3"/>
        <v>0.39249999999999996</v>
      </c>
      <c r="I26" s="7">
        <f t="shared" si="2"/>
        <v>1</v>
      </c>
    </row>
    <row r="27" spans="1:14" x14ac:dyDescent="0.3">
      <c r="A27" s="36"/>
      <c r="B27" s="36" t="s">
        <v>2</v>
      </c>
      <c r="C27" s="26">
        <v>-8.0999999999999996E-3</v>
      </c>
      <c r="D27" s="24">
        <v>0.93600000000000005</v>
      </c>
      <c r="E27" s="22" t="s">
        <v>8</v>
      </c>
      <c r="F27" s="12">
        <v>-0.2319</v>
      </c>
      <c r="G27" s="12">
        <v>0.2021</v>
      </c>
      <c r="H27" s="4">
        <f t="shared" si="3"/>
        <v>0.434</v>
      </c>
      <c r="I27" s="4">
        <f t="shared" si="2"/>
        <v>0</v>
      </c>
    </row>
    <row r="28" spans="1:14" x14ac:dyDescent="0.3">
      <c r="A28" s="36"/>
      <c r="B28" s="36"/>
      <c r="C28" s="27"/>
      <c r="D28" s="25"/>
      <c r="E28" s="7" t="s">
        <v>7</v>
      </c>
      <c r="F28" s="13">
        <v>-0.20419999999999999</v>
      </c>
      <c r="G28" s="13">
        <v>0.18859999999999999</v>
      </c>
      <c r="H28" s="7">
        <f t="shared" si="3"/>
        <v>0.39279999999999998</v>
      </c>
      <c r="I28" s="7">
        <f t="shared" si="2"/>
        <v>1</v>
      </c>
    </row>
    <row r="29" spans="1:14" x14ac:dyDescent="0.3">
      <c r="A29" s="36"/>
      <c r="B29" s="36" t="s">
        <v>3</v>
      </c>
      <c r="C29" s="26" t="s">
        <v>33</v>
      </c>
      <c r="D29" s="24">
        <v>1.5699999999999999E-2</v>
      </c>
      <c r="E29" s="22" t="s">
        <v>8</v>
      </c>
      <c r="F29" s="12">
        <v>7.0999999999999994E-2</v>
      </c>
      <c r="G29" s="12">
        <v>0.26860000000000001</v>
      </c>
      <c r="H29" s="4">
        <f t="shared" si="3"/>
        <v>0.1976</v>
      </c>
      <c r="I29" s="4">
        <f t="shared" si="2"/>
        <v>1</v>
      </c>
    </row>
    <row r="30" spans="1:14" x14ac:dyDescent="0.3">
      <c r="A30" s="37"/>
      <c r="B30" s="37"/>
      <c r="C30" s="27"/>
      <c r="D30" s="25"/>
      <c r="E30" s="7" t="s">
        <v>7</v>
      </c>
      <c r="F30" s="13">
        <v>3.4000000000000002E-2</v>
      </c>
      <c r="G30" s="13">
        <v>0.28989999999999999</v>
      </c>
      <c r="H30" s="7">
        <f t="shared" si="3"/>
        <v>0.25590000000000002</v>
      </c>
      <c r="I30" s="7">
        <f t="shared" si="2"/>
        <v>1</v>
      </c>
    </row>
    <row r="32" spans="1:14" ht="18" x14ac:dyDescent="0.35">
      <c r="A32" s="1" t="s">
        <v>37</v>
      </c>
      <c r="K32" s="20"/>
      <c r="L32" s="20"/>
      <c r="M32" s="20"/>
      <c r="N32" s="20"/>
    </row>
    <row r="33" spans="1:14" ht="18" x14ac:dyDescent="0.35">
      <c r="A33" s="14" t="s">
        <v>34</v>
      </c>
      <c r="B33" s="14" t="s">
        <v>9</v>
      </c>
      <c r="C33" s="19" t="s">
        <v>38</v>
      </c>
      <c r="K33" s="20"/>
      <c r="L33" s="20"/>
      <c r="M33" s="20"/>
      <c r="N33" s="20"/>
    </row>
    <row r="34" spans="1:14" ht="18" x14ac:dyDescent="0.35">
      <c r="A34" t="s">
        <v>35</v>
      </c>
      <c r="B34" s="15" t="s">
        <v>8</v>
      </c>
      <c r="C34" s="4">
        <f>SUM(H3, H5, H7, H9, H11, H13)</f>
        <v>3.0167000000000002</v>
      </c>
      <c r="D34" s="1" t="s">
        <v>39</v>
      </c>
      <c r="F34" s="20" t="s">
        <v>41</v>
      </c>
    </row>
    <row r="35" spans="1:14" ht="18" x14ac:dyDescent="0.35">
      <c r="A35" s="2"/>
      <c r="B35" s="16" t="s">
        <v>7</v>
      </c>
      <c r="C35" s="7">
        <f>SUM(H4, H6,H8, H10, H12, H14)</f>
        <v>2.3473999999999995</v>
      </c>
      <c r="F35" s="20" t="s">
        <v>42</v>
      </c>
    </row>
    <row r="36" spans="1:14" x14ac:dyDescent="0.3">
      <c r="A36" t="s">
        <v>36</v>
      </c>
      <c r="B36" s="15" t="s">
        <v>8</v>
      </c>
      <c r="C36" s="4">
        <f>SUM(H19, H21, H23, H25, H27, H29)</f>
        <v>1.554</v>
      </c>
      <c r="D36" s="1" t="s">
        <v>40</v>
      </c>
    </row>
    <row r="37" spans="1:14" x14ac:dyDescent="0.3">
      <c r="A37" s="2"/>
      <c r="B37" s="16" t="s">
        <v>7</v>
      </c>
      <c r="C37" s="7">
        <f>SUM(H30, H28,H26, H24, H22, H20)</f>
        <v>1.5579000000000001</v>
      </c>
    </row>
    <row r="38" spans="1:14" x14ac:dyDescent="0.3">
      <c r="F38" t="s">
        <v>43</v>
      </c>
    </row>
    <row r="39" spans="1:14" x14ac:dyDescent="0.3">
      <c r="F39" t="s">
        <v>44</v>
      </c>
    </row>
    <row r="40" spans="1:14" x14ac:dyDescent="0.3">
      <c r="F40" t="s">
        <v>47</v>
      </c>
    </row>
    <row r="41" spans="1:14" x14ac:dyDescent="0.3">
      <c r="F41" t="s">
        <v>48</v>
      </c>
    </row>
    <row r="42" spans="1:14" x14ac:dyDescent="0.3">
      <c r="F42" t="s">
        <v>45</v>
      </c>
    </row>
    <row r="43" spans="1:14" x14ac:dyDescent="0.3">
      <c r="F43" t="s">
        <v>46</v>
      </c>
    </row>
    <row r="44" spans="1:14" x14ac:dyDescent="0.3">
      <c r="F44" t="s">
        <v>49</v>
      </c>
    </row>
  </sheetData>
  <mergeCells count="40">
    <mergeCell ref="A3:A8"/>
    <mergeCell ref="B3:B4"/>
    <mergeCell ref="B5:B6"/>
    <mergeCell ref="B7:B8"/>
    <mergeCell ref="A19:A24"/>
    <mergeCell ref="B19:B20"/>
    <mergeCell ref="B21:B22"/>
    <mergeCell ref="B23:B24"/>
    <mergeCell ref="A9:A14"/>
    <mergeCell ref="B9:B10"/>
    <mergeCell ref="B11:B12"/>
    <mergeCell ref="B13:B14"/>
    <mergeCell ref="A25:A30"/>
    <mergeCell ref="B25:B26"/>
    <mergeCell ref="B27:B28"/>
    <mergeCell ref="B29:B30"/>
    <mergeCell ref="D13:D14"/>
    <mergeCell ref="C3:C4"/>
    <mergeCell ref="C5:C6"/>
    <mergeCell ref="C7:C8"/>
    <mergeCell ref="C9:C10"/>
    <mergeCell ref="C11:C12"/>
    <mergeCell ref="C13:C14"/>
    <mergeCell ref="D3:D4"/>
    <mergeCell ref="D5:D6"/>
    <mergeCell ref="D7:D8"/>
    <mergeCell ref="D9:D10"/>
    <mergeCell ref="D11:D12"/>
    <mergeCell ref="C19:C20"/>
    <mergeCell ref="D19:D20"/>
    <mergeCell ref="D21:D22"/>
    <mergeCell ref="C21:C22"/>
    <mergeCell ref="C23:C24"/>
    <mergeCell ref="D23:D24"/>
    <mergeCell ref="D25:D26"/>
    <mergeCell ref="C25:C26"/>
    <mergeCell ref="C27:C28"/>
    <mergeCell ref="D27:D28"/>
    <mergeCell ref="D29:D30"/>
    <mergeCell ref="C29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Dinwiddie</dc:creator>
  <cp:lastModifiedBy>Matt Dinwiddie</cp:lastModifiedBy>
  <dcterms:created xsi:type="dcterms:W3CDTF">2015-06-05T18:17:20Z</dcterms:created>
  <dcterms:modified xsi:type="dcterms:W3CDTF">2024-05-17T22:11:09Z</dcterms:modified>
</cp:coreProperties>
</file>