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mdinw\Desktop\PPCORR Project\PPCORR Version Control\04-23-2024\"/>
    </mc:Choice>
  </mc:AlternateContent>
  <xr:revisionPtr revIDLastSave="0" documentId="13_ncr:1_{97CD5017-3522-46A6-888A-32DC9086EB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N9" i="1"/>
  <c r="N10" i="1"/>
  <c r="N15" i="1"/>
  <c r="N18" i="1"/>
  <c r="N21" i="1"/>
  <c r="O2" i="1"/>
  <c r="O3" i="1"/>
  <c r="O4" i="1"/>
  <c r="O6" i="1"/>
  <c r="O7" i="1"/>
  <c r="O8" i="1"/>
  <c r="O11" i="1"/>
  <c r="O12" i="1"/>
  <c r="O13" i="1"/>
  <c r="O14" i="1"/>
  <c r="O16" i="1"/>
  <c r="O17" i="1"/>
  <c r="O19" i="1"/>
  <c r="O20" i="1"/>
  <c r="O22" i="1"/>
  <c r="N3" i="1"/>
  <c r="N4" i="1"/>
  <c r="N6" i="1"/>
  <c r="N7" i="1"/>
  <c r="N8" i="1"/>
  <c r="N11" i="1"/>
  <c r="N12" i="1"/>
  <c r="N13" i="1"/>
  <c r="N14" i="1"/>
  <c r="N16" i="1"/>
  <c r="N17" i="1"/>
  <c r="N19" i="1"/>
  <c r="N20" i="1"/>
  <c r="N22" i="1"/>
  <c r="N2" i="1"/>
</calcChain>
</file>

<file path=xl/sharedStrings.xml><?xml version="1.0" encoding="utf-8"?>
<sst xmlns="http://schemas.openxmlformats.org/spreadsheetml/2006/main" count="15" uniqueCount="15">
  <si>
    <t>Participant ID</t>
  </si>
  <si>
    <t>Age</t>
  </si>
  <si>
    <t>Nadir CD4þ T-cell count (cells/ml)</t>
  </si>
  <si>
    <t>Duration of virologic suppression (years)</t>
  </si>
  <si>
    <t>CD4þ T-cell count (cells/ml)</t>
  </si>
  <si>
    <t>Percentage CD4þ T cells in lymphocytes</t>
  </si>
  <si>
    <t>Plasma viremia (HIV-1 RNA copies/ml)</t>
  </si>
  <si>
    <t>Cellular HIV-1 DNA (copies per 10 6 PBMC)</t>
  </si>
  <si>
    <t>Cellular HIV-1 RNA (copies per 10 6 PBMC)</t>
  </si>
  <si>
    <t>Spontaneous virus release (copies/mL culture supernatant) PBMC</t>
  </si>
  <si>
    <t>Spontaneous virus release (copies/mL culture supernatant) Resting CD4+T-cells</t>
  </si>
  <si>
    <t>Inducible virus release (copies/mL culture supernatant) PBMC</t>
  </si>
  <si>
    <t>Inducible virus release (copies/mL culture supernatant) Resting CD4+T-cells</t>
  </si>
  <si>
    <t>Binned CD4</t>
  </si>
  <si>
    <t>Binned Nadir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</si>
</sst>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abSelected="1" zoomScale="78" zoomScaleNormal="78" workbookViewId="0">
      <selection activeCell="H32" sqref="H32"/>
    </sheetView>
  </sheetViews>
  <sheetFormatPr defaultRowHeight="14.4" x14ac:dyDescent="0.3"/>
  <cols>
    <col min="1" max="1" width="13.33203125" customWidth="1"/>
    <col min="2" max="2" width="7.6640625" customWidth="1"/>
    <col min="3" max="3" width="17.21875" customWidth="1"/>
    <col min="4" max="4" width="19.77734375" customWidth="1"/>
    <col min="5" max="5" width="19.5546875" customWidth="1"/>
    <col min="6" max="6" width="22.33203125" customWidth="1"/>
    <col min="7" max="7" width="27.77734375" customWidth="1"/>
    <col min="8" max="8" width="25.21875" customWidth="1"/>
    <col min="9" max="9" width="20.109375" customWidth="1"/>
    <col min="10" max="10" width="25.109375" customWidth="1"/>
    <col min="11" max="11" width="21.5546875" customWidth="1"/>
    <col min="12" max="12" width="19.77734375" customWidth="1"/>
    <col min="13" max="13" width="20.5546875" customWidth="1"/>
    <col min="14" max="14" width="17" customWidth="1"/>
    <col min="15" max="15" width="14.33203125" customWidth="1"/>
  </cols>
  <sheetData>
    <row r="1" spans="1:16" s="4" customFormat="1" ht="73.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/>
    </row>
    <row r="2" spans="1:16" x14ac:dyDescent="0.3">
      <c r="A2" s="2">
        <v>1</v>
      </c>
      <c r="B2" s="2">
        <v>69</v>
      </c>
      <c r="C2" s="2">
        <v>210</v>
      </c>
      <c r="D2" s="2">
        <v>6</v>
      </c>
      <c r="E2" s="2">
        <v>742</v>
      </c>
      <c r="F2" s="2">
        <v>41.2</v>
      </c>
      <c r="G2" s="2">
        <v>1.1000000000000001</v>
      </c>
      <c r="H2" s="2">
        <v>563</v>
      </c>
      <c r="I2" s="2">
        <v>74</v>
      </c>
      <c r="J2" s="2">
        <v>404</v>
      </c>
      <c r="K2" s="2">
        <v>37</v>
      </c>
      <c r="L2" s="2">
        <v>17658</v>
      </c>
      <c r="M2" s="2">
        <v>8948</v>
      </c>
      <c r="N2" s="2" t="str">
        <f>IF(F2&lt;30, "CD4&lt;30pct", "CD4&gt;30pct")</f>
        <v>CD4&gt;30pct</v>
      </c>
      <c r="O2" s="2" t="str">
        <f>IF(C2&lt;200, "Nadir&lt;200", "Nadir&gt;200")</f>
        <v>Nadir&gt;200</v>
      </c>
      <c r="P2" s="2"/>
    </row>
    <row r="3" spans="1:16" x14ac:dyDescent="0.3">
      <c r="A3" s="2">
        <v>2</v>
      </c>
      <c r="B3" s="2">
        <v>54</v>
      </c>
      <c r="C3" s="2">
        <v>253</v>
      </c>
      <c r="D3" s="2">
        <v>19</v>
      </c>
      <c r="E3" s="2">
        <v>653</v>
      </c>
      <c r="F3" s="2">
        <v>36.299999999999997</v>
      </c>
      <c r="G3" s="2">
        <v>0.05</v>
      </c>
      <c r="H3" s="2">
        <v>172</v>
      </c>
      <c r="I3" s="2">
        <v>82</v>
      </c>
      <c r="J3" s="2">
        <v>170</v>
      </c>
      <c r="K3" s="2">
        <v>32</v>
      </c>
      <c r="L3" s="2">
        <v>3596</v>
      </c>
      <c r="M3" s="2">
        <v>4474</v>
      </c>
      <c r="N3" s="2" t="str">
        <f t="shared" ref="N3:N22" si="0">IF(F3&lt;30, "CD4&lt;30pct", "CD4&gt;30pct")</f>
        <v>CD4&gt;30pct</v>
      </c>
      <c r="O3" s="2" t="str">
        <f t="shared" ref="O3:O22" si="1">IF(C3&lt;200, "Nadir&lt;200", "Nadir&gt;200")</f>
        <v>Nadir&gt;200</v>
      </c>
      <c r="P3" s="2"/>
    </row>
    <row r="4" spans="1:16" x14ac:dyDescent="0.3">
      <c r="A4" s="2">
        <v>3</v>
      </c>
      <c r="B4" s="2">
        <v>57</v>
      </c>
      <c r="C4" s="2">
        <v>300</v>
      </c>
      <c r="D4" s="2">
        <v>2</v>
      </c>
      <c r="E4" s="2">
        <v>587</v>
      </c>
      <c r="F4" s="2">
        <v>36.700000000000003</v>
      </c>
      <c r="G4" s="2">
        <v>1.2</v>
      </c>
      <c r="H4" s="2">
        <v>245</v>
      </c>
      <c r="I4" s="2">
        <v>40</v>
      </c>
      <c r="J4" s="2">
        <v>473</v>
      </c>
      <c r="K4" s="2">
        <v>126</v>
      </c>
      <c r="L4" s="2">
        <v>378</v>
      </c>
      <c r="M4" s="2">
        <v>5583</v>
      </c>
      <c r="N4" s="2" t="str">
        <f t="shared" si="0"/>
        <v>CD4&gt;30pct</v>
      </c>
      <c r="O4" s="2" t="str">
        <f t="shared" si="1"/>
        <v>Nadir&gt;200</v>
      </c>
      <c r="P4" s="2"/>
    </row>
    <row r="5" spans="1:16" x14ac:dyDescent="0.3">
      <c r="A5" s="2">
        <v>4</v>
      </c>
      <c r="B5" s="2">
        <v>55</v>
      </c>
      <c r="C5" s="2"/>
      <c r="D5" s="2"/>
      <c r="E5" s="2">
        <v>762</v>
      </c>
      <c r="F5" s="2">
        <v>23.8</v>
      </c>
      <c r="G5" s="2">
        <v>1.7</v>
      </c>
      <c r="H5" s="2">
        <v>192</v>
      </c>
      <c r="I5" s="2">
        <v>3</v>
      </c>
      <c r="J5" s="2">
        <v>79</v>
      </c>
      <c r="K5" s="2">
        <v>141</v>
      </c>
      <c r="L5" s="2">
        <v>223</v>
      </c>
      <c r="M5" s="2">
        <v>2863</v>
      </c>
      <c r="N5" s="2" t="str">
        <f t="shared" si="0"/>
        <v>CD4&lt;30pct</v>
      </c>
      <c r="O5" s="2"/>
      <c r="P5" s="2"/>
    </row>
    <row r="6" spans="1:16" x14ac:dyDescent="0.3">
      <c r="A6" s="2">
        <v>5</v>
      </c>
      <c r="B6" s="2">
        <v>51</v>
      </c>
      <c r="C6" s="2">
        <v>0</v>
      </c>
      <c r="D6" s="2">
        <v>8</v>
      </c>
      <c r="E6" s="2">
        <v>692</v>
      </c>
      <c r="F6" s="2">
        <v>17.3</v>
      </c>
      <c r="G6" s="2">
        <v>6</v>
      </c>
      <c r="H6" s="2">
        <v>2972</v>
      </c>
      <c r="I6" s="2">
        <v>355</v>
      </c>
      <c r="J6" s="2">
        <v>866</v>
      </c>
      <c r="K6" s="2">
        <v>1248</v>
      </c>
      <c r="L6" s="2">
        <v>12866</v>
      </c>
      <c r="M6" s="2">
        <v>42728</v>
      </c>
      <c r="N6" s="2" t="str">
        <f t="shared" si="0"/>
        <v>CD4&lt;30pct</v>
      </c>
      <c r="O6" s="2" t="str">
        <f t="shared" si="1"/>
        <v>Nadir&lt;200</v>
      </c>
      <c r="P6" s="2"/>
    </row>
    <row r="7" spans="1:16" x14ac:dyDescent="0.3">
      <c r="A7" s="2">
        <v>6</v>
      </c>
      <c r="B7" s="2">
        <v>54</v>
      </c>
      <c r="C7" s="2">
        <v>425</v>
      </c>
      <c r="D7" s="2">
        <v>3</v>
      </c>
      <c r="E7" s="2">
        <v>607</v>
      </c>
      <c r="F7" s="2">
        <v>26.4</v>
      </c>
      <c r="G7" s="2">
        <v>2.2999999999999998</v>
      </c>
      <c r="H7" s="2">
        <v>283</v>
      </c>
      <c r="I7" s="2">
        <v>37</v>
      </c>
      <c r="J7" s="2">
        <v>49</v>
      </c>
      <c r="K7" s="2">
        <v>45</v>
      </c>
      <c r="L7" s="2">
        <v>2030</v>
      </c>
      <c r="M7" s="2">
        <v>4329</v>
      </c>
      <c r="N7" s="2" t="str">
        <f t="shared" si="0"/>
        <v>CD4&lt;30pct</v>
      </c>
      <c r="O7" s="2" t="str">
        <f t="shared" si="1"/>
        <v>Nadir&gt;200</v>
      </c>
      <c r="P7" s="2"/>
    </row>
    <row r="8" spans="1:16" x14ac:dyDescent="0.3">
      <c r="A8" s="2">
        <v>7</v>
      </c>
      <c r="B8" s="2">
        <v>61</v>
      </c>
      <c r="C8" s="2">
        <v>325</v>
      </c>
      <c r="D8" s="2">
        <v>16</v>
      </c>
      <c r="E8" s="2">
        <v>1022</v>
      </c>
      <c r="F8" s="2">
        <v>29.2</v>
      </c>
      <c r="G8" s="2">
        <v>0.8</v>
      </c>
      <c r="H8" s="2">
        <v>1061</v>
      </c>
      <c r="I8" s="2">
        <v>92</v>
      </c>
      <c r="J8" s="2">
        <v>176</v>
      </c>
      <c r="K8" s="2">
        <v>385</v>
      </c>
      <c r="L8" s="2">
        <v>6720</v>
      </c>
      <c r="M8" s="2">
        <v>12395</v>
      </c>
      <c r="N8" s="2" t="str">
        <f t="shared" si="0"/>
        <v>CD4&lt;30pct</v>
      </c>
      <c r="O8" s="2" t="str">
        <f t="shared" si="1"/>
        <v>Nadir&gt;200</v>
      </c>
      <c r="P8" s="2"/>
    </row>
    <row r="9" spans="1:16" x14ac:dyDescent="0.3">
      <c r="A9" s="2">
        <v>8</v>
      </c>
      <c r="B9" s="2">
        <v>58</v>
      </c>
      <c r="C9" s="2"/>
      <c r="D9" s="2"/>
      <c r="E9" s="2">
        <v>632</v>
      </c>
      <c r="F9" s="2">
        <v>23.4</v>
      </c>
      <c r="G9" s="2">
        <v>11</v>
      </c>
      <c r="H9" s="2">
        <v>636</v>
      </c>
      <c r="I9" s="2">
        <v>177</v>
      </c>
      <c r="J9" s="2">
        <v>163</v>
      </c>
      <c r="K9" s="2">
        <v>238</v>
      </c>
      <c r="L9" s="2">
        <v>20195</v>
      </c>
      <c r="M9" s="2">
        <v>13271</v>
      </c>
      <c r="N9" s="2" t="str">
        <f t="shared" si="0"/>
        <v>CD4&lt;30pct</v>
      </c>
      <c r="O9" s="2"/>
      <c r="P9" s="2"/>
    </row>
    <row r="10" spans="1:16" x14ac:dyDescent="0.3">
      <c r="A10" s="2">
        <v>9</v>
      </c>
      <c r="B10" s="2">
        <v>50</v>
      </c>
      <c r="C10" s="2"/>
      <c r="D10" s="2"/>
      <c r="E10" s="2">
        <v>1345</v>
      </c>
      <c r="F10" s="2">
        <v>26.9</v>
      </c>
      <c r="G10" s="2">
        <v>6.3</v>
      </c>
      <c r="H10" s="2">
        <v>80</v>
      </c>
      <c r="I10" s="2">
        <v>35</v>
      </c>
      <c r="J10" s="2">
        <v>55</v>
      </c>
      <c r="K10" s="2">
        <v>72</v>
      </c>
      <c r="L10" s="2">
        <v>2881</v>
      </c>
      <c r="M10" s="2">
        <v>3366</v>
      </c>
      <c r="N10" s="2" t="str">
        <f t="shared" si="0"/>
        <v>CD4&lt;30pct</v>
      </c>
      <c r="O10" s="2"/>
      <c r="P10" s="2"/>
    </row>
    <row r="11" spans="1:16" x14ac:dyDescent="0.3">
      <c r="A11" s="2">
        <v>10</v>
      </c>
      <c r="B11" s="2">
        <v>54</v>
      </c>
      <c r="C11" s="2">
        <v>187</v>
      </c>
      <c r="D11" s="2">
        <v>12</v>
      </c>
      <c r="E11" s="2">
        <v>590</v>
      </c>
      <c r="F11" s="2">
        <v>26.8</v>
      </c>
      <c r="G11" s="2">
        <v>7.0000000000000007E-2</v>
      </c>
      <c r="H11" s="2">
        <v>611</v>
      </c>
      <c r="I11" s="2">
        <v>53</v>
      </c>
      <c r="J11" s="2">
        <v>20</v>
      </c>
      <c r="K11" s="2">
        <v>93</v>
      </c>
      <c r="L11" s="2">
        <v>496</v>
      </c>
      <c r="M11" s="2">
        <v>6621</v>
      </c>
      <c r="N11" s="2" t="str">
        <f t="shared" si="0"/>
        <v>CD4&lt;30pct</v>
      </c>
      <c r="O11" s="2" t="str">
        <f t="shared" si="1"/>
        <v>Nadir&lt;200</v>
      </c>
      <c r="P11" s="2"/>
    </row>
    <row r="12" spans="1:16" x14ac:dyDescent="0.3">
      <c r="A12" s="2">
        <v>11</v>
      </c>
      <c r="B12" s="2">
        <v>52</v>
      </c>
      <c r="C12" s="2">
        <v>67</v>
      </c>
      <c r="D12" s="2">
        <v>14</v>
      </c>
      <c r="E12" s="2">
        <v>422</v>
      </c>
      <c r="F12" s="2">
        <v>28.1</v>
      </c>
      <c r="G12" s="2">
        <v>0.05</v>
      </c>
      <c r="H12" s="2">
        <v>78</v>
      </c>
      <c r="I12" s="2">
        <v>4</v>
      </c>
      <c r="J12" s="2">
        <v>20</v>
      </c>
      <c r="K12" s="2">
        <v>20</v>
      </c>
      <c r="L12" s="2">
        <v>467</v>
      </c>
      <c r="M12" s="2">
        <v>281</v>
      </c>
      <c r="N12" s="2" t="str">
        <f t="shared" si="0"/>
        <v>CD4&lt;30pct</v>
      </c>
      <c r="O12" s="2" t="str">
        <f t="shared" si="1"/>
        <v>Nadir&lt;200</v>
      </c>
      <c r="P12" s="2"/>
    </row>
    <row r="13" spans="1:16" x14ac:dyDescent="0.3">
      <c r="A13" s="2">
        <v>12</v>
      </c>
      <c r="B13" s="2">
        <v>53</v>
      </c>
      <c r="C13" s="2">
        <v>150</v>
      </c>
      <c r="D13" s="2">
        <v>7</v>
      </c>
      <c r="E13" s="2">
        <v>958</v>
      </c>
      <c r="F13" s="2">
        <v>38.299999999999997</v>
      </c>
      <c r="G13" s="2">
        <v>4</v>
      </c>
      <c r="H13" s="2">
        <v>504</v>
      </c>
      <c r="I13" s="2">
        <v>90</v>
      </c>
      <c r="J13" s="2">
        <v>36</v>
      </c>
      <c r="K13" s="2">
        <v>126</v>
      </c>
      <c r="L13" s="2">
        <v>3365</v>
      </c>
      <c r="M13" s="2">
        <v>3552</v>
      </c>
      <c r="N13" s="2" t="str">
        <f t="shared" si="0"/>
        <v>CD4&gt;30pct</v>
      </c>
      <c r="O13" s="2" t="str">
        <f t="shared" si="1"/>
        <v>Nadir&lt;200</v>
      </c>
      <c r="P13" s="2"/>
    </row>
    <row r="14" spans="1:16" x14ac:dyDescent="0.3">
      <c r="A14" s="2">
        <v>13</v>
      </c>
      <c r="B14" s="2">
        <v>52</v>
      </c>
      <c r="C14" s="2">
        <v>96</v>
      </c>
      <c r="D14" s="2">
        <v>1</v>
      </c>
      <c r="E14" s="2">
        <v>832</v>
      </c>
      <c r="F14" s="2">
        <v>39.6</v>
      </c>
      <c r="G14" s="2">
        <v>2.8</v>
      </c>
      <c r="H14" s="2">
        <v>211</v>
      </c>
      <c r="I14" s="2">
        <v>21</v>
      </c>
      <c r="J14" s="2">
        <v>33</v>
      </c>
      <c r="K14" s="2">
        <v>255</v>
      </c>
      <c r="L14" s="2">
        <v>15241</v>
      </c>
      <c r="M14" s="2">
        <v>17428</v>
      </c>
      <c r="N14" s="2" t="str">
        <f t="shared" si="0"/>
        <v>CD4&gt;30pct</v>
      </c>
      <c r="O14" s="2" t="str">
        <f t="shared" si="1"/>
        <v>Nadir&lt;200</v>
      </c>
      <c r="P14" s="2"/>
    </row>
    <row r="15" spans="1:16" x14ac:dyDescent="0.3">
      <c r="A15" s="2">
        <v>14</v>
      </c>
      <c r="B15" s="2">
        <v>64</v>
      </c>
      <c r="C15" s="2"/>
      <c r="D15" s="2"/>
      <c r="E15" s="2">
        <v>725</v>
      </c>
      <c r="F15" s="2">
        <v>48.3</v>
      </c>
      <c r="G15" s="2">
        <v>0.7</v>
      </c>
      <c r="H15" s="2">
        <v>453</v>
      </c>
      <c r="I15" s="2">
        <v>70</v>
      </c>
      <c r="J15" s="2">
        <v>32</v>
      </c>
      <c r="K15" s="2">
        <v>27</v>
      </c>
      <c r="L15" s="2">
        <v>84212</v>
      </c>
      <c r="M15" s="2">
        <v>30472</v>
      </c>
      <c r="N15" s="2" t="str">
        <f t="shared" si="0"/>
        <v>CD4&gt;30pct</v>
      </c>
      <c r="O15" s="2"/>
      <c r="P15" s="2"/>
    </row>
    <row r="16" spans="1:16" x14ac:dyDescent="0.3">
      <c r="A16" s="2">
        <v>15</v>
      </c>
      <c r="B16" s="2">
        <v>64</v>
      </c>
      <c r="C16" s="2">
        <v>7</v>
      </c>
      <c r="D16" s="2">
        <v>15</v>
      </c>
      <c r="E16" s="2">
        <v>538</v>
      </c>
      <c r="F16" s="2">
        <v>33.6</v>
      </c>
      <c r="G16" s="2">
        <v>0.09</v>
      </c>
      <c r="H16" s="2">
        <v>31</v>
      </c>
      <c r="I16" s="2">
        <v>15</v>
      </c>
      <c r="J16" s="2">
        <v>20</v>
      </c>
      <c r="K16" s="2">
        <v>20</v>
      </c>
      <c r="L16" s="2">
        <v>292</v>
      </c>
      <c r="M16" s="2">
        <v>332</v>
      </c>
      <c r="N16" s="2" t="str">
        <f t="shared" si="0"/>
        <v>CD4&gt;30pct</v>
      </c>
      <c r="O16" s="2" t="str">
        <f t="shared" si="1"/>
        <v>Nadir&lt;200</v>
      </c>
      <c r="P16" s="2"/>
    </row>
    <row r="17" spans="1:16" x14ac:dyDescent="0.3">
      <c r="A17" s="2">
        <v>16</v>
      </c>
      <c r="B17" s="2">
        <v>39</v>
      </c>
      <c r="C17" s="2">
        <v>325</v>
      </c>
      <c r="D17" s="2">
        <v>6</v>
      </c>
      <c r="E17" s="2">
        <v>556</v>
      </c>
      <c r="F17" s="2">
        <v>39.700000000000003</v>
      </c>
      <c r="G17" s="2">
        <v>7.0000000000000007E-2</v>
      </c>
      <c r="H17" s="2">
        <v>160</v>
      </c>
      <c r="I17" s="2">
        <v>28</v>
      </c>
      <c r="J17" s="2">
        <v>20</v>
      </c>
      <c r="K17" s="2">
        <v>23</v>
      </c>
      <c r="L17" s="2">
        <v>108</v>
      </c>
      <c r="M17" s="2">
        <v>3765</v>
      </c>
      <c r="N17" s="2" t="str">
        <f t="shared" si="0"/>
        <v>CD4&gt;30pct</v>
      </c>
      <c r="O17" s="2" t="str">
        <f t="shared" si="1"/>
        <v>Nadir&gt;200</v>
      </c>
      <c r="P17" s="2"/>
    </row>
    <row r="18" spans="1:16" x14ac:dyDescent="0.3">
      <c r="A18" s="2">
        <v>17</v>
      </c>
      <c r="B18" s="2">
        <v>56</v>
      </c>
      <c r="C18" s="2"/>
      <c r="D18" s="2"/>
      <c r="E18" s="2">
        <v>882</v>
      </c>
      <c r="F18" s="2">
        <v>42</v>
      </c>
      <c r="G18" s="2"/>
      <c r="H18" s="2">
        <v>7</v>
      </c>
      <c r="I18" s="2">
        <v>1</v>
      </c>
      <c r="J18" s="2">
        <v>20</v>
      </c>
      <c r="K18" s="2">
        <v>20</v>
      </c>
      <c r="L18" s="2">
        <v>108</v>
      </c>
      <c r="M18" s="2">
        <v>38</v>
      </c>
      <c r="N18" s="2" t="str">
        <f t="shared" si="0"/>
        <v>CD4&gt;30pct</v>
      </c>
      <c r="O18" s="2"/>
      <c r="P18" s="2"/>
    </row>
    <row r="19" spans="1:16" x14ac:dyDescent="0.3">
      <c r="A19" s="2">
        <v>18</v>
      </c>
      <c r="B19" s="2">
        <v>54</v>
      </c>
      <c r="C19" s="2">
        <v>120</v>
      </c>
      <c r="D19" s="2">
        <v>15</v>
      </c>
      <c r="E19" s="2">
        <v>699</v>
      </c>
      <c r="F19" s="2">
        <v>36.799999999999997</v>
      </c>
      <c r="G19" s="2"/>
      <c r="H19" s="2">
        <v>366</v>
      </c>
      <c r="I19" s="2">
        <v>13</v>
      </c>
      <c r="J19" s="2">
        <v>35</v>
      </c>
      <c r="K19" s="2">
        <v>80</v>
      </c>
      <c r="L19" s="2">
        <v>1633</v>
      </c>
      <c r="M19" s="2">
        <v>6579</v>
      </c>
      <c r="N19" s="2" t="str">
        <f t="shared" si="0"/>
        <v>CD4&gt;30pct</v>
      </c>
      <c r="O19" s="2" t="str">
        <f t="shared" si="1"/>
        <v>Nadir&lt;200</v>
      </c>
      <c r="P19" s="2"/>
    </row>
    <row r="20" spans="1:16" x14ac:dyDescent="0.3">
      <c r="A20" s="2">
        <v>19</v>
      </c>
      <c r="B20" s="2">
        <v>57</v>
      </c>
      <c r="C20" s="2">
        <v>190</v>
      </c>
      <c r="D20" s="2">
        <v>19</v>
      </c>
      <c r="E20" s="2">
        <v>780</v>
      </c>
      <c r="F20" s="2">
        <v>39</v>
      </c>
      <c r="G20" s="2">
        <v>3</v>
      </c>
      <c r="H20" s="2">
        <v>381</v>
      </c>
      <c r="I20" s="2">
        <v>39</v>
      </c>
      <c r="J20" s="2">
        <v>69</v>
      </c>
      <c r="K20" s="2">
        <v>117</v>
      </c>
      <c r="L20" s="2">
        <v>1291</v>
      </c>
      <c r="M20" s="2">
        <v>1042</v>
      </c>
      <c r="N20" s="2" t="str">
        <f t="shared" si="0"/>
        <v>CD4&gt;30pct</v>
      </c>
      <c r="O20" s="2" t="str">
        <f t="shared" si="1"/>
        <v>Nadir&lt;200</v>
      </c>
      <c r="P20" s="2"/>
    </row>
    <row r="21" spans="1:16" x14ac:dyDescent="0.3">
      <c r="A21" s="2">
        <v>20</v>
      </c>
      <c r="B21" s="2">
        <v>47</v>
      </c>
      <c r="C21" s="2"/>
      <c r="D21" s="2"/>
      <c r="E21" s="2">
        <v>796</v>
      </c>
      <c r="F21" s="2">
        <v>36.200000000000003</v>
      </c>
      <c r="G21" s="2">
        <v>0.1</v>
      </c>
      <c r="H21" s="2">
        <v>289</v>
      </c>
      <c r="I21" s="2">
        <v>11</v>
      </c>
      <c r="J21" s="2">
        <v>35</v>
      </c>
      <c r="K21" s="2">
        <v>65</v>
      </c>
      <c r="L21" s="2">
        <v>261</v>
      </c>
      <c r="M21" s="2">
        <v>867</v>
      </c>
      <c r="N21" s="2" t="str">
        <f t="shared" si="0"/>
        <v>CD4&gt;30pct</v>
      </c>
      <c r="O21" s="2"/>
      <c r="P21" s="2"/>
    </row>
    <row r="22" spans="1:16" x14ac:dyDescent="0.3">
      <c r="A22" s="2">
        <v>21</v>
      </c>
      <c r="B22" s="2">
        <v>62</v>
      </c>
      <c r="C22" s="2">
        <v>88</v>
      </c>
      <c r="D22" s="2">
        <v>24</v>
      </c>
      <c r="E22" s="2">
        <v>783</v>
      </c>
      <c r="F22" s="2">
        <v>43.5</v>
      </c>
      <c r="G22" s="2">
        <v>0.4</v>
      </c>
      <c r="H22" s="2">
        <v>91</v>
      </c>
      <c r="I22" s="2">
        <v>2</v>
      </c>
      <c r="J22" s="2">
        <v>20</v>
      </c>
      <c r="K22" s="2">
        <v>20</v>
      </c>
      <c r="L22" s="2">
        <v>32.5</v>
      </c>
      <c r="M22" s="2">
        <v>49</v>
      </c>
      <c r="N22" s="2" t="str">
        <f t="shared" si="0"/>
        <v>CD4&gt;30pct</v>
      </c>
      <c r="O22" s="2" t="str">
        <f t="shared" si="1"/>
        <v>Nadir&lt;200</v>
      </c>
      <c r="P22" s="2"/>
    </row>
    <row r="23" spans="1:16" x14ac:dyDescent="0.3">
      <c r="A23" s="2"/>
      <c r="B23" s="2"/>
      <c r="C23" s="2"/>
      <c r="D23" s="2"/>
      <c r="E23" s="2"/>
      <c r="F23" s="2"/>
      <c r="G23" s="2"/>
      <c r="H23" s="2"/>
      <c r="I23" s="2"/>
      <c r="N23" s="2"/>
      <c r="O23" s="2"/>
      <c r="P23" s="2"/>
    </row>
    <row r="24" spans="1:16" x14ac:dyDescent="0.3">
      <c r="A24" s="2"/>
      <c r="B24" s="2"/>
      <c r="C24" s="2"/>
      <c r="D24" s="2"/>
      <c r="E24" s="2"/>
      <c r="F24" s="2"/>
      <c r="G24" s="2"/>
      <c r="H24" s="2"/>
      <c r="I24" s="2"/>
      <c r="N24" s="2"/>
      <c r="O24" s="2"/>
      <c r="P24" s="2"/>
    </row>
    <row r="25" spans="1:16" x14ac:dyDescent="0.3">
      <c r="N25" s="2"/>
      <c r="O25" s="2"/>
      <c r="P25" s="2"/>
    </row>
    <row r="26" spans="1:16" x14ac:dyDescent="0.3">
      <c r="N26" s="2"/>
      <c r="O26" s="2"/>
      <c r="P26" s="2"/>
    </row>
    <row r="27" spans="1:16" x14ac:dyDescent="0.3">
      <c r="N27" s="2"/>
      <c r="O27" s="2"/>
      <c r="P27" s="2"/>
    </row>
    <row r="30" spans="1:16" x14ac:dyDescent="0.3">
      <c r="B30" s="1"/>
      <c r="C30" s="1"/>
      <c r="D30" s="1"/>
      <c r="E30" s="1"/>
      <c r="F30" s="1"/>
      <c r="G30" s="1"/>
      <c r="H30" s="1"/>
    </row>
    <row r="31" spans="1:16" x14ac:dyDescent="0.3">
      <c r="B31" s="2"/>
      <c r="C31" s="2"/>
      <c r="D31" s="2"/>
      <c r="E31" s="2"/>
      <c r="F31" s="2"/>
      <c r="G31" s="2"/>
      <c r="H31" s="2"/>
      <c r="I31" s="2"/>
      <c r="J31" s="2"/>
    </row>
    <row r="32" spans="1:16" x14ac:dyDescent="0.3">
      <c r="B32" s="2"/>
      <c r="C32" s="2"/>
      <c r="D32" s="2"/>
      <c r="E32" s="2"/>
      <c r="F32" s="2"/>
      <c r="G32" s="2"/>
      <c r="H32" s="2"/>
      <c r="I32" s="2"/>
      <c r="J32" s="2"/>
    </row>
    <row r="33" spans="2:10" x14ac:dyDescent="0.3">
      <c r="B33" s="2"/>
      <c r="C33" s="2"/>
      <c r="D33" s="2"/>
      <c r="E33" s="2"/>
      <c r="F33" s="2"/>
      <c r="G33" s="2"/>
      <c r="H33" s="2"/>
      <c r="I33" s="2"/>
      <c r="J33" s="2"/>
    </row>
    <row r="34" spans="2:10" x14ac:dyDescent="0.3">
      <c r="B34" s="2"/>
      <c r="C34" s="2"/>
      <c r="D34" s="2"/>
      <c r="E34" s="2"/>
      <c r="F34" s="2"/>
      <c r="G34" s="2"/>
      <c r="H34" s="2"/>
      <c r="I34" s="2"/>
      <c r="J34" s="2"/>
    </row>
    <row r="35" spans="2:10" x14ac:dyDescent="0.3">
      <c r="B35" s="2"/>
      <c r="C35" s="2"/>
      <c r="D35" s="2"/>
      <c r="E35" s="2"/>
      <c r="F35" s="2"/>
      <c r="G35" s="2"/>
      <c r="H35" s="2"/>
      <c r="I35" s="2"/>
      <c r="J35" s="2"/>
    </row>
    <row r="36" spans="2:10" x14ac:dyDescent="0.3">
      <c r="B36" s="2"/>
      <c r="C36" s="2"/>
      <c r="D36" s="2"/>
      <c r="E36" s="2"/>
      <c r="F36" s="2"/>
      <c r="G36" s="2"/>
      <c r="H36" s="2"/>
      <c r="I36" s="2"/>
      <c r="J36" s="2"/>
    </row>
    <row r="37" spans="2:10" x14ac:dyDescent="0.3">
      <c r="B37" s="2"/>
      <c r="C37" s="2"/>
      <c r="D37" s="2"/>
      <c r="E37" s="2"/>
      <c r="F37" s="2"/>
      <c r="G37" s="2"/>
      <c r="H37" s="2"/>
      <c r="I37" s="2"/>
      <c r="J37" s="2"/>
    </row>
    <row r="38" spans="2:10" x14ac:dyDescent="0.3">
      <c r="B38" s="2"/>
      <c r="C38" s="2"/>
      <c r="D38" s="2"/>
      <c r="E38" s="2"/>
      <c r="F38" s="2"/>
      <c r="G38" s="2"/>
      <c r="H38" s="2"/>
      <c r="I38" s="2"/>
      <c r="J38" s="2"/>
    </row>
    <row r="39" spans="2:10" x14ac:dyDescent="0.3">
      <c r="B39" s="2"/>
      <c r="C39" s="2"/>
      <c r="D39" s="2"/>
      <c r="E39" s="2"/>
      <c r="F39" s="2"/>
      <c r="G39" s="2"/>
      <c r="H39" s="2"/>
      <c r="I39" s="2"/>
      <c r="J39" s="2"/>
    </row>
    <row r="40" spans="2:10" x14ac:dyDescent="0.3">
      <c r="B40" s="2"/>
      <c r="C40" s="2"/>
      <c r="D40" s="2"/>
      <c r="E40" s="2"/>
      <c r="F40" s="2"/>
      <c r="G40" s="2"/>
      <c r="H40" s="2"/>
      <c r="I40" s="2"/>
      <c r="J40" s="2"/>
    </row>
    <row r="41" spans="2:10" x14ac:dyDescent="0.3">
      <c r="B41" s="2"/>
      <c r="C41" s="2"/>
      <c r="D41" s="2"/>
      <c r="E41" s="2"/>
      <c r="F41" s="2"/>
      <c r="G41" s="2"/>
      <c r="H41" s="2"/>
      <c r="I41" s="2"/>
      <c r="J41" s="2"/>
    </row>
    <row r="42" spans="2:10" x14ac:dyDescent="0.3">
      <c r="B42" s="2"/>
      <c r="C42" s="2"/>
      <c r="D42" s="2"/>
      <c r="E42" s="2"/>
      <c r="F42" s="2"/>
      <c r="G42" s="2"/>
      <c r="H42" s="2"/>
      <c r="I42" s="2"/>
      <c r="J42" s="2"/>
    </row>
    <row r="43" spans="2:10" x14ac:dyDescent="0.3">
      <c r="B43" s="2"/>
      <c r="C43" s="2"/>
      <c r="D43" s="2"/>
      <c r="E43" s="2"/>
      <c r="F43" s="2"/>
      <c r="G43" s="2"/>
      <c r="H43" s="2"/>
      <c r="I43" s="2"/>
      <c r="J43" s="2"/>
    </row>
    <row r="44" spans="2:10" x14ac:dyDescent="0.3">
      <c r="B44" s="2"/>
      <c r="C44" s="2"/>
      <c r="D44" s="2"/>
      <c r="E44" s="2"/>
      <c r="F44" s="2"/>
      <c r="G44" s="2"/>
      <c r="H44" s="2"/>
      <c r="I44" s="2"/>
      <c r="J44" s="2"/>
    </row>
    <row r="45" spans="2:10" x14ac:dyDescent="0.3">
      <c r="B45" s="2"/>
      <c r="C45" s="2"/>
      <c r="D45" s="2"/>
      <c r="E45" s="2"/>
      <c r="F45" s="2"/>
      <c r="G45" s="2"/>
      <c r="H45" s="2"/>
      <c r="I45" s="2"/>
      <c r="J45" s="2"/>
    </row>
    <row r="46" spans="2:10" x14ac:dyDescent="0.3">
      <c r="B46" s="2"/>
      <c r="C46" s="2"/>
      <c r="D46" s="2"/>
      <c r="E46" s="2"/>
      <c r="F46" s="2"/>
      <c r="G46" s="2"/>
      <c r="H46" s="2"/>
      <c r="I46" s="2"/>
      <c r="J46" s="2"/>
    </row>
    <row r="47" spans="2:10" x14ac:dyDescent="0.3">
      <c r="B47" s="2"/>
      <c r="C47" s="2"/>
      <c r="D47" s="2"/>
      <c r="E47" s="2"/>
      <c r="F47" s="2"/>
      <c r="G47" s="2"/>
      <c r="H47" s="2"/>
      <c r="I47" s="2"/>
      <c r="J47" s="2"/>
    </row>
    <row r="48" spans="2:10" x14ac:dyDescent="0.3">
      <c r="B48" s="2"/>
      <c r="C48" s="2"/>
      <c r="D48" s="2"/>
      <c r="E48" s="2"/>
      <c r="F48" s="2"/>
      <c r="G48" s="2"/>
      <c r="H48" s="2"/>
      <c r="I48" s="2"/>
      <c r="J48" s="2"/>
    </row>
    <row r="49" spans="2:10" x14ac:dyDescent="0.3">
      <c r="B49" s="2"/>
      <c r="C49" s="2"/>
      <c r="D49" s="2"/>
      <c r="E49" s="2"/>
      <c r="F49" s="2"/>
      <c r="G49" s="2"/>
      <c r="H49" s="2"/>
      <c r="I49" s="2"/>
      <c r="J49" s="2"/>
    </row>
    <row r="50" spans="2:10" x14ac:dyDescent="0.3">
      <c r="B50" s="2"/>
      <c r="C50" s="2"/>
      <c r="D50" s="2"/>
      <c r="E50" s="2"/>
      <c r="F50" s="2"/>
      <c r="G50" s="2"/>
      <c r="H50" s="2"/>
      <c r="I50" s="2"/>
      <c r="J50" s="2"/>
    </row>
    <row r="51" spans="2:10" x14ac:dyDescent="0.3">
      <c r="B51" s="2"/>
      <c r="C51" s="2"/>
      <c r="D51" s="2"/>
      <c r="E51" s="2"/>
      <c r="F51" s="2"/>
      <c r="G51" s="2"/>
      <c r="H51" s="2"/>
      <c r="I51" s="2"/>
      <c r="J51" s="2"/>
    </row>
    <row r="52" spans="2:10" x14ac:dyDescent="0.3">
      <c r="B52" s="2"/>
      <c r="C52" s="2"/>
      <c r="D52" s="2"/>
      <c r="E52" s="2"/>
      <c r="F52" s="2"/>
      <c r="G52" s="2"/>
      <c r="H52" s="2"/>
      <c r="I52" s="2"/>
      <c r="J52" s="2"/>
    </row>
    <row r="53" spans="2:10" x14ac:dyDescent="0.3">
      <c r="B53" s="2"/>
      <c r="C53" s="2"/>
      <c r="D53" s="2"/>
      <c r="E53" s="2"/>
      <c r="F53" s="2"/>
      <c r="G53" s="2"/>
      <c r="H53" s="2"/>
      <c r="I53" s="2"/>
      <c r="J53" s="2"/>
    </row>
    <row r="54" spans="2:10" x14ac:dyDescent="0.3">
      <c r="B54" s="2"/>
      <c r="C54" s="2"/>
      <c r="D54" s="2"/>
      <c r="E54" s="2"/>
      <c r="F54" s="2"/>
      <c r="G54" s="2"/>
      <c r="H54" s="2"/>
      <c r="I54" s="2"/>
      <c r="J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Dinwiddie</dc:creator>
  <cp:lastModifiedBy>Matt Dinwiddie</cp:lastModifiedBy>
  <dcterms:created xsi:type="dcterms:W3CDTF">2015-06-05T18:17:20Z</dcterms:created>
  <dcterms:modified xsi:type="dcterms:W3CDTF">2024-04-26T21:42:47Z</dcterms:modified>
</cp:coreProperties>
</file>