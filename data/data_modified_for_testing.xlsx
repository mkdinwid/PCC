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dinw\Desktop\PPCORR Project\PPCORR Version Control\09-08-2024\data\"/>
    </mc:Choice>
  </mc:AlternateContent>
  <xr:revisionPtr revIDLastSave="0" documentId="13_ncr:1_{9755734C-C2E7-49C2-8230-7A7C28AC2AE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Full Data" sheetId="2" r:id="rId1"/>
    <sheet name="Subset" sheetId="1" r:id="rId2"/>
    <sheet name="Missing Colum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3" l="1"/>
  <c r="I20" i="3"/>
  <c r="K20" i="3" s="1"/>
  <c r="J19" i="3"/>
  <c r="K19" i="3" s="1"/>
  <c r="I19" i="3"/>
  <c r="J18" i="3"/>
  <c r="I18" i="3"/>
  <c r="K18" i="3" s="1"/>
  <c r="J17" i="3"/>
  <c r="K17" i="3" s="1"/>
  <c r="I17" i="3"/>
  <c r="J16" i="3"/>
  <c r="I16" i="3"/>
  <c r="K16" i="3" s="1"/>
  <c r="J15" i="3"/>
  <c r="K15" i="3" s="1"/>
  <c r="I15" i="3"/>
  <c r="J14" i="3"/>
  <c r="I14" i="3"/>
  <c r="K14" i="3" s="1"/>
  <c r="J13" i="3"/>
  <c r="K13" i="3" s="1"/>
  <c r="I13" i="3"/>
  <c r="J12" i="3"/>
  <c r="I12" i="3"/>
  <c r="K12" i="3" s="1"/>
  <c r="J11" i="3"/>
  <c r="K11" i="3" s="1"/>
  <c r="I11" i="3"/>
  <c r="J10" i="3"/>
  <c r="I10" i="3"/>
  <c r="K10" i="3" s="1"/>
  <c r="J9" i="3"/>
  <c r="K9" i="3" s="1"/>
  <c r="I9" i="3"/>
  <c r="J8" i="3"/>
  <c r="I8" i="3"/>
  <c r="K8" i="3" s="1"/>
  <c r="J7" i="3"/>
  <c r="K7" i="3" s="1"/>
  <c r="I7" i="3"/>
  <c r="J6" i="3"/>
  <c r="I6" i="3"/>
  <c r="K6" i="3" s="1"/>
  <c r="J5" i="3"/>
  <c r="K5" i="3" s="1"/>
  <c r="I5" i="3"/>
  <c r="J4" i="3"/>
  <c r="I4" i="3"/>
  <c r="K4" i="3" s="1"/>
  <c r="J3" i="3"/>
  <c r="K3" i="3" s="1"/>
  <c r="I3" i="3"/>
  <c r="J2" i="3"/>
  <c r="I2" i="3"/>
  <c r="K2" i="3" s="1"/>
</calcChain>
</file>

<file path=xl/sharedStrings.xml><?xml version="1.0" encoding="utf-8"?>
<sst xmlns="http://schemas.openxmlformats.org/spreadsheetml/2006/main" count="20" uniqueCount="13">
  <si>
    <t>Participant ID</t>
  </si>
  <si>
    <t>Age</t>
  </si>
  <si>
    <t>Nadir CD4þ T-cell count (cells/ml)</t>
  </si>
  <si>
    <t>Duration of virologic suppression (years)</t>
  </si>
  <si>
    <t>CD4þ T-cell count (cells/ml)</t>
  </si>
  <si>
    <t>Percentage CD4þ T cells in lymphocytes</t>
  </si>
  <si>
    <t>Plasma viremia (HIV-1 RNA copies/ml)</t>
  </si>
  <si>
    <t>Cellular HIV-1 DNA (copies per 10 6 PBMC)</t>
  </si>
  <si>
    <t>Cellular HIV-1 RNA (copies per 10 6 PBMC)</t>
  </si>
  <si>
    <t>Spontaneous virus release (copies/mL culture supernatant) PBMC</t>
  </si>
  <si>
    <t>Spontaneous virus release (copies/mL culture supernatant) Resting CD4+T-cells</t>
  </si>
  <si>
    <t>Inducible virus release (copies/mL culture supernatant) PBMC</t>
  </si>
  <si>
    <t>Inducible virus release (copies/mL culture supernatant) Resting CD4+T-cells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</si>
</sst>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E60-3819-48A5-A88F-2A4D73DF13F2}">
  <dimension ref="A1:M22"/>
  <sheetViews>
    <sheetView workbookViewId="0">
      <selection sqref="A1:M1048576"/>
    </sheetView>
  </sheetViews>
  <sheetFormatPr defaultRowHeight="14.4" x14ac:dyDescent="0.3"/>
  <sheetData>
    <row r="1" spans="1:13" ht="172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>
        <v>1</v>
      </c>
      <c r="B2" s="1">
        <v>69</v>
      </c>
      <c r="C2" s="1">
        <v>210</v>
      </c>
      <c r="D2" s="1">
        <v>6</v>
      </c>
      <c r="E2" s="1">
        <v>742</v>
      </c>
      <c r="F2" s="1">
        <v>41.2</v>
      </c>
      <c r="G2" s="1">
        <v>1.1000000000000001</v>
      </c>
      <c r="H2" s="1">
        <v>563</v>
      </c>
      <c r="I2" s="1">
        <v>74</v>
      </c>
      <c r="J2" s="1">
        <v>404</v>
      </c>
      <c r="K2" s="1">
        <v>37</v>
      </c>
      <c r="L2" s="1">
        <v>17658</v>
      </c>
      <c r="M2" s="1">
        <v>8948</v>
      </c>
    </row>
    <row r="3" spans="1:13" x14ac:dyDescent="0.3">
      <c r="A3" s="1">
        <v>2</v>
      </c>
      <c r="B3" s="1">
        <v>54</v>
      </c>
      <c r="C3" s="1">
        <v>253</v>
      </c>
      <c r="D3" s="1">
        <v>19</v>
      </c>
      <c r="E3" s="1">
        <v>653</v>
      </c>
      <c r="F3" s="1">
        <v>36.299999999999997</v>
      </c>
      <c r="G3" s="1">
        <v>0.05</v>
      </c>
      <c r="H3" s="1">
        <v>172</v>
      </c>
      <c r="I3" s="1">
        <v>82</v>
      </c>
      <c r="J3" s="1">
        <v>170</v>
      </c>
      <c r="K3" s="1">
        <v>32</v>
      </c>
      <c r="L3" s="1">
        <v>3596</v>
      </c>
      <c r="M3" s="1">
        <v>4474</v>
      </c>
    </row>
    <row r="4" spans="1:13" x14ac:dyDescent="0.3">
      <c r="A4" s="1">
        <v>3</v>
      </c>
      <c r="B4" s="1">
        <v>57</v>
      </c>
      <c r="C4" s="1">
        <v>300</v>
      </c>
      <c r="D4" s="1">
        <v>2</v>
      </c>
      <c r="E4" s="1">
        <v>587</v>
      </c>
      <c r="F4" s="1">
        <v>36.700000000000003</v>
      </c>
      <c r="G4" s="1">
        <v>1.2</v>
      </c>
      <c r="H4" s="1">
        <v>245</v>
      </c>
      <c r="I4" s="1">
        <v>40</v>
      </c>
      <c r="J4" s="1">
        <v>473</v>
      </c>
      <c r="K4" s="1">
        <v>126</v>
      </c>
      <c r="L4" s="1">
        <v>378</v>
      </c>
      <c r="M4" s="1">
        <v>5583</v>
      </c>
    </row>
    <row r="5" spans="1:13" x14ac:dyDescent="0.3">
      <c r="A5" s="1">
        <v>4</v>
      </c>
      <c r="B5" s="1">
        <v>55</v>
      </c>
      <c r="C5" s="1"/>
      <c r="D5" s="1"/>
      <c r="E5" s="1">
        <v>762</v>
      </c>
      <c r="F5" s="1">
        <v>23.8</v>
      </c>
      <c r="G5" s="1">
        <v>1.7</v>
      </c>
      <c r="H5" s="1">
        <v>192</v>
      </c>
      <c r="I5" s="1">
        <v>3</v>
      </c>
      <c r="J5" s="1">
        <v>79</v>
      </c>
      <c r="K5" s="1">
        <v>141</v>
      </c>
      <c r="L5" s="1">
        <v>223</v>
      </c>
      <c r="M5" s="1">
        <v>2863</v>
      </c>
    </row>
    <row r="6" spans="1:13" x14ac:dyDescent="0.3">
      <c r="A6" s="1">
        <v>5</v>
      </c>
      <c r="B6" s="1">
        <v>51</v>
      </c>
      <c r="C6" s="1">
        <v>0</v>
      </c>
      <c r="D6" s="1">
        <v>8</v>
      </c>
      <c r="E6" s="1">
        <v>692</v>
      </c>
      <c r="F6" s="1">
        <v>17.3</v>
      </c>
      <c r="G6" s="1">
        <v>6</v>
      </c>
      <c r="H6" s="1">
        <v>2972</v>
      </c>
      <c r="I6" s="1">
        <v>355</v>
      </c>
      <c r="J6" s="1">
        <v>866</v>
      </c>
      <c r="K6" s="1">
        <v>1248</v>
      </c>
      <c r="L6" s="1">
        <v>12866</v>
      </c>
      <c r="M6" s="1">
        <v>42728</v>
      </c>
    </row>
    <row r="7" spans="1:13" x14ac:dyDescent="0.3">
      <c r="A7" s="1">
        <v>6</v>
      </c>
      <c r="B7" s="1">
        <v>54</v>
      </c>
      <c r="C7" s="1">
        <v>425</v>
      </c>
      <c r="D7" s="1">
        <v>3</v>
      </c>
      <c r="E7" s="1">
        <v>607</v>
      </c>
      <c r="F7" s="1">
        <v>26.4</v>
      </c>
      <c r="G7" s="1">
        <v>2.2999999999999998</v>
      </c>
      <c r="H7" s="1">
        <v>283</v>
      </c>
      <c r="I7" s="1">
        <v>37</v>
      </c>
      <c r="J7" s="1">
        <v>49</v>
      </c>
      <c r="K7" s="1">
        <v>45</v>
      </c>
      <c r="L7" s="1">
        <v>2030</v>
      </c>
      <c r="M7" s="1">
        <v>4329</v>
      </c>
    </row>
    <row r="8" spans="1:13" x14ac:dyDescent="0.3">
      <c r="A8" s="1">
        <v>7</v>
      </c>
      <c r="B8" s="1">
        <v>61</v>
      </c>
      <c r="C8" s="1">
        <v>325</v>
      </c>
      <c r="D8" s="1">
        <v>16</v>
      </c>
      <c r="E8" s="1">
        <v>1022</v>
      </c>
      <c r="F8" s="1">
        <v>29.2</v>
      </c>
      <c r="G8" s="1">
        <v>0.8</v>
      </c>
      <c r="H8" s="1">
        <v>1061</v>
      </c>
      <c r="I8" s="1">
        <v>92</v>
      </c>
      <c r="J8" s="1">
        <v>176</v>
      </c>
      <c r="K8" s="1">
        <v>385</v>
      </c>
      <c r="L8" s="1">
        <v>6720</v>
      </c>
      <c r="M8" s="1">
        <v>12395</v>
      </c>
    </row>
    <row r="9" spans="1:13" x14ac:dyDescent="0.3">
      <c r="A9" s="1">
        <v>8</v>
      </c>
      <c r="B9" s="1">
        <v>58</v>
      </c>
      <c r="C9" s="1"/>
      <c r="D9" s="1"/>
      <c r="E9" s="1">
        <v>632</v>
      </c>
      <c r="F9" s="1">
        <v>23.4</v>
      </c>
      <c r="G9" s="1">
        <v>11</v>
      </c>
      <c r="H9" s="1">
        <v>636</v>
      </c>
      <c r="I9" s="1">
        <v>177</v>
      </c>
      <c r="J9" s="1">
        <v>163</v>
      </c>
      <c r="K9" s="1">
        <v>238</v>
      </c>
      <c r="L9" s="1">
        <v>20195</v>
      </c>
      <c r="M9" s="1">
        <v>13271</v>
      </c>
    </row>
    <row r="10" spans="1:13" x14ac:dyDescent="0.3">
      <c r="A10" s="1">
        <v>9</v>
      </c>
      <c r="B10" s="1">
        <v>50</v>
      </c>
      <c r="C10" s="1"/>
      <c r="D10" s="1"/>
      <c r="E10" s="1">
        <v>1345</v>
      </c>
      <c r="F10" s="1">
        <v>26.9</v>
      </c>
      <c r="G10" s="1">
        <v>6.3</v>
      </c>
      <c r="H10" s="1">
        <v>80</v>
      </c>
      <c r="I10" s="1">
        <v>35</v>
      </c>
      <c r="J10" s="1">
        <v>55</v>
      </c>
      <c r="K10" s="1">
        <v>72</v>
      </c>
      <c r="L10" s="1">
        <v>2881</v>
      </c>
      <c r="M10" s="1">
        <v>3366</v>
      </c>
    </row>
    <row r="11" spans="1:13" x14ac:dyDescent="0.3">
      <c r="A11" s="1">
        <v>10</v>
      </c>
      <c r="B11" s="1">
        <v>54</v>
      </c>
      <c r="C11" s="1">
        <v>187</v>
      </c>
      <c r="D11" s="1">
        <v>12</v>
      </c>
      <c r="E11" s="1">
        <v>590</v>
      </c>
      <c r="F11" s="1">
        <v>26.8</v>
      </c>
      <c r="G11" s="1">
        <v>7.0000000000000007E-2</v>
      </c>
      <c r="H11" s="1">
        <v>611</v>
      </c>
      <c r="I11" s="1">
        <v>53</v>
      </c>
      <c r="J11" s="1">
        <v>20</v>
      </c>
      <c r="K11" s="1">
        <v>93</v>
      </c>
      <c r="L11" s="1">
        <v>496</v>
      </c>
      <c r="M11" s="1">
        <v>6621</v>
      </c>
    </row>
    <row r="12" spans="1:13" x14ac:dyDescent="0.3">
      <c r="A12" s="1">
        <v>11</v>
      </c>
      <c r="B12" s="1">
        <v>52</v>
      </c>
      <c r="C12" s="1">
        <v>67</v>
      </c>
      <c r="D12" s="1">
        <v>14</v>
      </c>
      <c r="E12" s="1">
        <v>422</v>
      </c>
      <c r="F12" s="1">
        <v>28.1</v>
      </c>
      <c r="G12" s="1">
        <v>0.05</v>
      </c>
      <c r="H12" s="1">
        <v>78</v>
      </c>
      <c r="I12" s="1">
        <v>4</v>
      </c>
      <c r="J12" s="1">
        <v>20</v>
      </c>
      <c r="K12" s="1">
        <v>20</v>
      </c>
      <c r="L12" s="1">
        <v>467</v>
      </c>
      <c r="M12" s="1">
        <v>281</v>
      </c>
    </row>
    <row r="13" spans="1:13" x14ac:dyDescent="0.3">
      <c r="A13" s="1">
        <v>12</v>
      </c>
      <c r="B13" s="1">
        <v>53</v>
      </c>
      <c r="C13" s="1">
        <v>150</v>
      </c>
      <c r="D13" s="1">
        <v>7</v>
      </c>
      <c r="E13" s="1">
        <v>958</v>
      </c>
      <c r="F13" s="1">
        <v>38.299999999999997</v>
      </c>
      <c r="G13" s="1">
        <v>4</v>
      </c>
      <c r="H13" s="1">
        <v>504</v>
      </c>
      <c r="I13" s="1">
        <v>90</v>
      </c>
      <c r="J13" s="1">
        <v>36</v>
      </c>
      <c r="K13" s="1">
        <v>126</v>
      </c>
      <c r="L13" s="1">
        <v>3365</v>
      </c>
      <c r="M13" s="1">
        <v>3552</v>
      </c>
    </row>
    <row r="14" spans="1:13" x14ac:dyDescent="0.3">
      <c r="A14" s="1">
        <v>13</v>
      </c>
      <c r="B14" s="1">
        <v>52</v>
      </c>
      <c r="C14" s="1">
        <v>96</v>
      </c>
      <c r="D14" s="1">
        <v>1</v>
      </c>
      <c r="E14" s="1">
        <v>832</v>
      </c>
      <c r="F14" s="1">
        <v>39.6</v>
      </c>
      <c r="G14" s="1">
        <v>2.8</v>
      </c>
      <c r="H14" s="1">
        <v>211</v>
      </c>
      <c r="I14" s="1">
        <v>21</v>
      </c>
      <c r="J14" s="1">
        <v>33</v>
      </c>
      <c r="K14" s="1">
        <v>255</v>
      </c>
      <c r="L14" s="1">
        <v>15241</v>
      </c>
      <c r="M14" s="1">
        <v>17428</v>
      </c>
    </row>
    <row r="15" spans="1:13" x14ac:dyDescent="0.3">
      <c r="A15" s="1">
        <v>14</v>
      </c>
      <c r="B15" s="1">
        <v>64</v>
      </c>
      <c r="C15" s="1"/>
      <c r="D15" s="1"/>
      <c r="E15" s="1">
        <v>725</v>
      </c>
      <c r="F15" s="1">
        <v>48.3</v>
      </c>
      <c r="G15" s="1">
        <v>0.7</v>
      </c>
      <c r="H15" s="1">
        <v>453</v>
      </c>
      <c r="I15" s="1">
        <v>70</v>
      </c>
      <c r="J15" s="1">
        <v>32</v>
      </c>
      <c r="K15" s="1">
        <v>27</v>
      </c>
      <c r="L15" s="1">
        <v>84212</v>
      </c>
      <c r="M15" s="1">
        <v>30472</v>
      </c>
    </row>
    <row r="16" spans="1:13" x14ac:dyDescent="0.3">
      <c r="A16" s="1">
        <v>15</v>
      </c>
      <c r="B16" s="1">
        <v>64</v>
      </c>
      <c r="C16" s="1">
        <v>7</v>
      </c>
      <c r="D16" s="1">
        <v>15</v>
      </c>
      <c r="E16" s="1">
        <v>538</v>
      </c>
      <c r="F16" s="1">
        <v>33.6</v>
      </c>
      <c r="G16" s="1">
        <v>0.09</v>
      </c>
      <c r="H16" s="1">
        <v>31</v>
      </c>
      <c r="I16" s="1">
        <v>15</v>
      </c>
      <c r="J16" s="1">
        <v>20</v>
      </c>
      <c r="K16" s="1">
        <v>20</v>
      </c>
      <c r="L16" s="1">
        <v>292</v>
      </c>
      <c r="M16" s="1">
        <v>332</v>
      </c>
    </row>
    <row r="17" spans="1:13" x14ac:dyDescent="0.3">
      <c r="A17" s="1">
        <v>16</v>
      </c>
      <c r="B17" s="1">
        <v>39</v>
      </c>
      <c r="C17" s="1">
        <v>325</v>
      </c>
      <c r="D17" s="1">
        <v>6</v>
      </c>
      <c r="E17" s="1">
        <v>556</v>
      </c>
      <c r="F17" s="1">
        <v>39.700000000000003</v>
      </c>
      <c r="G17" s="1">
        <v>7.0000000000000007E-2</v>
      </c>
      <c r="H17" s="1">
        <v>160</v>
      </c>
      <c r="I17" s="1">
        <v>28</v>
      </c>
      <c r="J17" s="1">
        <v>20</v>
      </c>
      <c r="K17" s="1">
        <v>23</v>
      </c>
      <c r="L17" s="1">
        <v>108</v>
      </c>
      <c r="M17" s="1">
        <v>3765</v>
      </c>
    </row>
    <row r="18" spans="1:13" x14ac:dyDescent="0.3">
      <c r="A18" s="1">
        <v>17</v>
      </c>
      <c r="B18" s="1">
        <v>56</v>
      </c>
      <c r="C18" s="1"/>
      <c r="D18" s="1"/>
      <c r="E18" s="1">
        <v>882</v>
      </c>
      <c r="F18" s="1">
        <v>42</v>
      </c>
      <c r="G18" s="1"/>
      <c r="H18" s="1">
        <v>7</v>
      </c>
      <c r="I18" s="1">
        <v>1</v>
      </c>
      <c r="J18" s="1">
        <v>20</v>
      </c>
      <c r="K18" s="1">
        <v>20</v>
      </c>
      <c r="L18" s="1">
        <v>108</v>
      </c>
      <c r="M18" s="1">
        <v>38</v>
      </c>
    </row>
    <row r="19" spans="1:13" x14ac:dyDescent="0.3">
      <c r="A19" s="1">
        <v>18</v>
      </c>
      <c r="B19" s="1">
        <v>54</v>
      </c>
      <c r="C19" s="1">
        <v>120</v>
      </c>
      <c r="D19" s="1">
        <v>15</v>
      </c>
      <c r="E19" s="1">
        <v>699</v>
      </c>
      <c r="F19" s="1">
        <v>36.799999999999997</v>
      </c>
      <c r="G19" s="1"/>
      <c r="H19" s="1">
        <v>366</v>
      </c>
      <c r="I19" s="1">
        <v>13</v>
      </c>
      <c r="J19" s="1">
        <v>35</v>
      </c>
      <c r="K19" s="1">
        <v>80</v>
      </c>
      <c r="L19" s="1">
        <v>1633</v>
      </c>
      <c r="M19" s="1">
        <v>6579</v>
      </c>
    </row>
    <row r="20" spans="1:13" x14ac:dyDescent="0.3">
      <c r="A20" s="1">
        <v>19</v>
      </c>
      <c r="B20" s="1">
        <v>57</v>
      </c>
      <c r="C20" s="1">
        <v>190</v>
      </c>
      <c r="D20" s="1">
        <v>19</v>
      </c>
      <c r="E20" s="1">
        <v>780</v>
      </c>
      <c r="F20" s="1">
        <v>39</v>
      </c>
      <c r="G20" s="1">
        <v>3</v>
      </c>
      <c r="H20" s="1">
        <v>381</v>
      </c>
      <c r="I20" s="1">
        <v>39</v>
      </c>
      <c r="J20" s="1">
        <v>69</v>
      </c>
      <c r="K20" s="1">
        <v>117</v>
      </c>
      <c r="L20" s="1">
        <v>1291</v>
      </c>
      <c r="M20" s="1">
        <v>1042</v>
      </c>
    </row>
    <row r="21" spans="1:13" x14ac:dyDescent="0.3">
      <c r="A21" s="1">
        <v>20</v>
      </c>
      <c r="B21" s="1">
        <v>47</v>
      </c>
      <c r="C21" s="1"/>
      <c r="D21" s="1"/>
      <c r="E21" s="1">
        <v>796</v>
      </c>
      <c r="F21" s="1">
        <v>36.200000000000003</v>
      </c>
      <c r="G21" s="1">
        <v>0.1</v>
      </c>
      <c r="H21" s="1">
        <v>289</v>
      </c>
      <c r="I21" s="1">
        <v>11</v>
      </c>
      <c r="J21" s="1">
        <v>35</v>
      </c>
      <c r="K21" s="1">
        <v>65</v>
      </c>
      <c r="L21" s="1">
        <v>261</v>
      </c>
      <c r="M21" s="1">
        <v>867</v>
      </c>
    </row>
    <row r="22" spans="1:13" x14ac:dyDescent="0.3">
      <c r="A22" s="1">
        <v>21</v>
      </c>
      <c r="B22" s="1">
        <v>62</v>
      </c>
      <c r="C22" s="1">
        <v>88</v>
      </c>
      <c r="D22" s="1">
        <v>24</v>
      </c>
      <c r="E22" s="1">
        <v>783</v>
      </c>
      <c r="F22" s="1">
        <v>43.5</v>
      </c>
      <c r="G22" s="1">
        <v>0.4</v>
      </c>
      <c r="H22" s="1">
        <v>91</v>
      </c>
      <c r="I22" s="1">
        <v>2</v>
      </c>
      <c r="J22" s="1">
        <v>20</v>
      </c>
      <c r="K22" s="1">
        <v>20</v>
      </c>
      <c r="L22" s="1">
        <v>32.5</v>
      </c>
      <c r="M22" s="1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zoomScale="78" zoomScaleNormal="78" workbookViewId="0">
      <selection activeCell="E7" sqref="E7"/>
    </sheetView>
  </sheetViews>
  <sheetFormatPr defaultRowHeight="14.4" x14ac:dyDescent="0.3"/>
  <cols>
    <col min="1" max="1" width="25.44140625" customWidth="1"/>
    <col min="2" max="2" width="27.5546875" customWidth="1"/>
    <col min="3" max="3" width="39.21875" customWidth="1"/>
    <col min="4" max="13" width="17.88671875" customWidth="1"/>
  </cols>
  <sheetData>
    <row r="1" spans="1:12" s="3" customFormat="1" ht="76.8" customHeight="1" x14ac:dyDescent="0.3">
      <c r="A1" s="2" t="s">
        <v>2</v>
      </c>
      <c r="B1" s="2" t="s">
        <v>7</v>
      </c>
      <c r="C1" s="2" t="s">
        <v>12</v>
      </c>
      <c r="D1" s="2"/>
      <c r="E1" s="2"/>
      <c r="F1" s="2"/>
      <c r="G1" s="2"/>
      <c r="I1" s="2"/>
      <c r="J1" s="2"/>
      <c r="K1" s="2"/>
      <c r="L1" s="2"/>
    </row>
    <row r="2" spans="1:12" x14ac:dyDescent="0.3">
      <c r="A2" s="1">
        <v>210</v>
      </c>
      <c r="B2" s="1">
        <v>563</v>
      </c>
      <c r="C2" s="1">
        <v>8948</v>
      </c>
      <c r="D2" s="1"/>
      <c r="E2" s="1"/>
      <c r="F2" s="1"/>
      <c r="G2" s="1"/>
      <c r="I2" s="1"/>
      <c r="J2" s="1"/>
      <c r="K2" s="1"/>
      <c r="L2" s="1"/>
    </row>
    <row r="3" spans="1:12" x14ac:dyDescent="0.3">
      <c r="A3" s="1">
        <v>253</v>
      </c>
      <c r="B3" s="1">
        <v>172</v>
      </c>
      <c r="C3" s="1">
        <v>4474</v>
      </c>
      <c r="D3" s="1"/>
      <c r="E3" s="1"/>
      <c r="F3" s="1"/>
      <c r="G3" s="1"/>
      <c r="I3" s="1"/>
      <c r="J3" s="1"/>
      <c r="K3" s="1"/>
      <c r="L3" s="1"/>
    </row>
    <row r="4" spans="1:12" x14ac:dyDescent="0.3">
      <c r="A4" s="1">
        <v>300</v>
      </c>
      <c r="B4" s="1">
        <v>245</v>
      </c>
      <c r="C4" s="1">
        <v>5583</v>
      </c>
      <c r="D4" s="1"/>
      <c r="E4" s="1"/>
      <c r="F4" s="1"/>
      <c r="G4" s="1"/>
      <c r="I4" s="1"/>
      <c r="J4" s="1"/>
      <c r="K4" s="1"/>
      <c r="L4" s="1"/>
    </row>
    <row r="5" spans="1:12" x14ac:dyDescent="0.3">
      <c r="A5" s="1">
        <v>425</v>
      </c>
      <c r="B5" s="1">
        <v>283</v>
      </c>
      <c r="C5" s="1">
        <v>4329</v>
      </c>
      <c r="D5" s="1"/>
      <c r="E5" s="1"/>
      <c r="F5" s="1"/>
      <c r="G5" s="1"/>
      <c r="I5" s="1"/>
      <c r="J5" s="1"/>
      <c r="K5" s="1"/>
      <c r="L5" s="1"/>
    </row>
    <row r="6" spans="1:12" x14ac:dyDescent="0.3">
      <c r="A6" s="1">
        <v>325</v>
      </c>
      <c r="B6" s="1">
        <v>1061</v>
      </c>
      <c r="C6" s="1">
        <v>12395</v>
      </c>
      <c r="D6" s="1"/>
      <c r="E6" s="1"/>
      <c r="F6" s="1"/>
      <c r="G6" s="1"/>
      <c r="I6" s="1"/>
      <c r="J6" s="1"/>
      <c r="K6" s="1"/>
      <c r="L6" s="1"/>
    </row>
    <row r="7" spans="1:12" x14ac:dyDescent="0.3">
      <c r="A7" s="1"/>
      <c r="B7" s="1">
        <v>636</v>
      </c>
      <c r="C7" s="1">
        <v>13271</v>
      </c>
      <c r="D7" s="1"/>
      <c r="E7" s="1"/>
      <c r="F7" s="1"/>
      <c r="G7" s="1"/>
      <c r="I7" s="1"/>
      <c r="J7" s="1"/>
      <c r="K7" s="1"/>
      <c r="L7" s="1"/>
    </row>
    <row r="8" spans="1:12" x14ac:dyDescent="0.3">
      <c r="A8" s="1"/>
      <c r="B8" s="1">
        <v>80</v>
      </c>
      <c r="C8" s="1">
        <v>3366</v>
      </c>
      <c r="D8" s="1"/>
      <c r="E8" s="1"/>
      <c r="F8" s="1"/>
      <c r="G8" s="1"/>
      <c r="I8" s="1"/>
      <c r="J8" s="1"/>
      <c r="K8" s="1"/>
      <c r="L8" s="1"/>
    </row>
    <row r="9" spans="1:12" x14ac:dyDescent="0.3">
      <c r="A9" s="1">
        <v>187</v>
      </c>
      <c r="B9" s="1">
        <v>611</v>
      </c>
      <c r="C9" s="1">
        <v>6621</v>
      </c>
      <c r="D9" s="1"/>
      <c r="E9" s="1"/>
      <c r="F9" s="1"/>
      <c r="G9" s="1"/>
      <c r="I9" s="1"/>
      <c r="J9" s="1"/>
      <c r="K9" s="1"/>
      <c r="L9" s="1"/>
    </row>
    <row r="10" spans="1:12" x14ac:dyDescent="0.3">
      <c r="A10" s="1">
        <v>67</v>
      </c>
      <c r="B10" s="1">
        <v>78</v>
      </c>
      <c r="C10" s="1">
        <v>281</v>
      </c>
      <c r="D10" s="1"/>
      <c r="E10" s="1"/>
      <c r="F10" s="1"/>
      <c r="G10" s="1"/>
      <c r="I10" s="1"/>
      <c r="J10" s="1"/>
      <c r="K10" s="1"/>
      <c r="L10" s="1"/>
    </row>
    <row r="11" spans="1:12" x14ac:dyDescent="0.3">
      <c r="A11" s="1">
        <v>150</v>
      </c>
      <c r="B11" s="1">
        <v>504</v>
      </c>
      <c r="C11" s="1">
        <v>3552</v>
      </c>
      <c r="D11" s="1"/>
      <c r="E11" s="1"/>
      <c r="F11" s="1"/>
      <c r="G11" s="1"/>
      <c r="I11" s="1"/>
      <c r="J11" s="1"/>
      <c r="K11" s="1"/>
      <c r="L11" s="1"/>
    </row>
    <row r="12" spans="1:12" x14ac:dyDescent="0.3">
      <c r="A12" s="1">
        <v>96</v>
      </c>
      <c r="B12" s="1">
        <v>211</v>
      </c>
      <c r="C12" s="1">
        <v>17428</v>
      </c>
      <c r="D12" s="1"/>
      <c r="E12" s="1"/>
      <c r="F12" s="1"/>
      <c r="G12" s="1"/>
      <c r="I12" s="1"/>
      <c r="J12" s="1"/>
      <c r="K12" s="1"/>
      <c r="L12" s="1"/>
    </row>
    <row r="13" spans="1:12" x14ac:dyDescent="0.3">
      <c r="A13" s="1"/>
      <c r="B13" s="1">
        <v>453</v>
      </c>
      <c r="C13" s="1">
        <v>30472</v>
      </c>
      <c r="D13" s="1"/>
      <c r="E13" s="1"/>
      <c r="F13" s="1"/>
      <c r="G13" s="1"/>
      <c r="I13" s="1"/>
      <c r="J13" s="1"/>
      <c r="K13" s="1"/>
      <c r="L13" s="1"/>
    </row>
    <row r="14" spans="1:12" x14ac:dyDescent="0.3">
      <c r="A14" s="1">
        <v>7</v>
      </c>
      <c r="B14" s="1">
        <v>31</v>
      </c>
      <c r="C14" s="1">
        <v>332</v>
      </c>
      <c r="D14" s="1"/>
      <c r="E14" s="1"/>
      <c r="F14" s="1"/>
      <c r="G14" s="1"/>
      <c r="I14" s="1"/>
      <c r="J14" s="1"/>
      <c r="K14" s="1"/>
      <c r="L14" s="1"/>
    </row>
    <row r="15" spans="1:12" x14ac:dyDescent="0.3">
      <c r="A15" s="1">
        <v>325</v>
      </c>
      <c r="B15" s="1">
        <v>160</v>
      </c>
      <c r="C15" s="1">
        <v>3765</v>
      </c>
      <c r="D15" s="1"/>
      <c r="E15" s="1"/>
      <c r="F15" s="1"/>
      <c r="G15" s="1"/>
      <c r="I15" s="1"/>
      <c r="J15" s="1"/>
      <c r="K15" s="1"/>
      <c r="L15" s="1"/>
    </row>
    <row r="16" spans="1:12" x14ac:dyDescent="0.3">
      <c r="A16" s="1"/>
      <c r="B16" s="1">
        <v>7</v>
      </c>
      <c r="C16" s="1">
        <v>38</v>
      </c>
      <c r="D16" s="1"/>
      <c r="E16" s="1"/>
      <c r="F16" s="1"/>
      <c r="G16" s="1"/>
      <c r="I16" s="1"/>
      <c r="J16" s="1"/>
      <c r="K16" s="1"/>
      <c r="L16" s="1"/>
    </row>
    <row r="17" spans="1:12" x14ac:dyDescent="0.3">
      <c r="A17" s="1">
        <v>120</v>
      </c>
      <c r="B17" s="1">
        <v>366</v>
      </c>
      <c r="C17" s="1">
        <v>6579</v>
      </c>
      <c r="D17" s="1"/>
      <c r="E17" s="1"/>
      <c r="F17" s="1"/>
      <c r="G17" s="1"/>
      <c r="I17" s="1"/>
      <c r="J17" s="1"/>
      <c r="K17" s="1"/>
      <c r="L17" s="1"/>
    </row>
    <row r="18" spans="1:12" x14ac:dyDescent="0.3">
      <c r="A18" s="1">
        <v>190</v>
      </c>
      <c r="B18" s="1">
        <v>381</v>
      </c>
      <c r="C18" s="1">
        <v>1042</v>
      </c>
      <c r="D18" s="1"/>
      <c r="E18" s="1"/>
      <c r="F18" s="1"/>
      <c r="G18" s="1"/>
      <c r="I18" s="1"/>
      <c r="J18" s="1"/>
      <c r="K18" s="1"/>
      <c r="L18" s="1"/>
    </row>
    <row r="19" spans="1:12" x14ac:dyDescent="0.3">
      <c r="A19" s="1"/>
      <c r="B19" s="1">
        <v>289</v>
      </c>
      <c r="C19" s="1">
        <v>867</v>
      </c>
      <c r="D19" s="1"/>
      <c r="E19" s="1"/>
      <c r="F19" s="1"/>
      <c r="G19" s="1"/>
      <c r="I19" s="1"/>
      <c r="J19" s="1"/>
      <c r="K19" s="1"/>
      <c r="L19" s="1"/>
    </row>
    <row r="20" spans="1:12" x14ac:dyDescent="0.3">
      <c r="A20" s="1">
        <v>88</v>
      </c>
      <c r="B20" s="1">
        <v>91</v>
      </c>
      <c r="C20" s="1">
        <v>49</v>
      </c>
      <c r="D20" s="1"/>
      <c r="E20" s="1"/>
      <c r="F20" s="1"/>
      <c r="G20" s="1"/>
      <c r="I20" s="1"/>
      <c r="J20" s="1"/>
      <c r="K20" s="1"/>
      <c r="L20" s="1"/>
    </row>
    <row r="21" spans="1:12" x14ac:dyDescent="0.3">
      <c r="D21" s="1"/>
      <c r="E21" s="1"/>
      <c r="F21" s="1"/>
      <c r="G21" s="1"/>
      <c r="I21" s="1"/>
      <c r="J21" s="1"/>
      <c r="K21" s="1"/>
      <c r="L21" s="1"/>
    </row>
    <row r="22" spans="1:12" x14ac:dyDescent="0.3">
      <c r="D22" s="1"/>
      <c r="E22" s="1"/>
      <c r="F22" s="1"/>
      <c r="G22" s="1"/>
      <c r="I22" s="1"/>
      <c r="J22" s="1"/>
      <c r="K22" s="1"/>
      <c r="L22" s="1"/>
    </row>
  </sheetData>
  <sortState xmlns:xlrd2="http://schemas.microsoft.com/office/spreadsheetml/2017/richdata2" ref="A2:B17">
    <sortCondition descending="1" ref="B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2A65-7FE4-48D6-ABB3-8785ECE86D5F}">
  <dimension ref="A1:K22"/>
  <sheetViews>
    <sheetView tabSelected="1" zoomScale="76" zoomScaleNormal="76" workbookViewId="0">
      <selection activeCell="E1" sqref="E1"/>
    </sheetView>
  </sheetViews>
  <sheetFormatPr defaultRowHeight="14.4" x14ac:dyDescent="0.3"/>
  <cols>
    <col min="1" max="1" width="26.88671875" customWidth="1"/>
    <col min="2" max="2" width="25.5546875" customWidth="1"/>
  </cols>
  <sheetData>
    <row r="1" spans="1:11" ht="75.599999999999994" customHeight="1" x14ac:dyDescent="0.3">
      <c r="A1" s="2" t="s">
        <v>6</v>
      </c>
      <c r="B1" s="2" t="s">
        <v>10</v>
      </c>
      <c r="G1" s="2" t="s">
        <v>6</v>
      </c>
      <c r="H1" s="2" t="s">
        <v>10</v>
      </c>
      <c r="I1" s="3"/>
      <c r="J1" s="3"/>
      <c r="K1" s="3"/>
    </row>
    <row r="2" spans="1:11" x14ac:dyDescent="0.3">
      <c r="A2" s="1">
        <v>1.1000000000000001</v>
      </c>
      <c r="B2" s="1">
        <v>37</v>
      </c>
      <c r="G2" s="1">
        <v>6</v>
      </c>
      <c r="H2" s="1">
        <v>1248</v>
      </c>
      <c r="I2" s="3">
        <f t="shared" ref="I2:I20" si="0">IF(H2&lt;=100, 1, 0)</f>
        <v>0</v>
      </c>
      <c r="J2" s="3">
        <f>IF(G2&lt;=0.6, 1, 0)</f>
        <v>0</v>
      </c>
      <c r="K2">
        <f>IF(I2+J2=2, 1, 0)</f>
        <v>0</v>
      </c>
    </row>
    <row r="3" spans="1:11" x14ac:dyDescent="0.3">
      <c r="A3" s="1">
        <v>0.05</v>
      </c>
      <c r="B3" s="1">
        <v>32</v>
      </c>
      <c r="G3" s="1">
        <v>0.8</v>
      </c>
      <c r="H3" s="1">
        <v>385</v>
      </c>
      <c r="I3" s="3">
        <f t="shared" si="0"/>
        <v>0</v>
      </c>
      <c r="J3" s="3">
        <f t="shared" ref="J3:J20" si="1">IF(G3&lt;=0.6, 1, 0)</f>
        <v>0</v>
      </c>
      <c r="K3">
        <f t="shared" ref="K3:K20" si="2">IF(I3+J3=2, 1, 0)</f>
        <v>0</v>
      </c>
    </row>
    <row r="4" spans="1:11" x14ac:dyDescent="0.3">
      <c r="A4" s="1">
        <v>1.2</v>
      </c>
      <c r="B4" s="1">
        <v>126</v>
      </c>
      <c r="G4" s="1">
        <v>2.8</v>
      </c>
      <c r="H4" s="1">
        <v>255</v>
      </c>
      <c r="I4" s="3">
        <f t="shared" si="0"/>
        <v>0</v>
      </c>
      <c r="J4" s="3">
        <f t="shared" si="1"/>
        <v>0</v>
      </c>
      <c r="K4">
        <f t="shared" si="2"/>
        <v>0</v>
      </c>
    </row>
    <row r="5" spans="1:11" x14ac:dyDescent="0.3">
      <c r="A5" s="1">
        <v>1.7</v>
      </c>
      <c r="B5" s="1">
        <v>141</v>
      </c>
      <c r="G5" s="1">
        <v>11</v>
      </c>
      <c r="H5" s="1">
        <v>238</v>
      </c>
      <c r="I5" s="3">
        <f t="shared" si="0"/>
        <v>0</v>
      </c>
      <c r="J5" s="3">
        <f t="shared" si="1"/>
        <v>0</v>
      </c>
      <c r="K5">
        <f t="shared" si="2"/>
        <v>0</v>
      </c>
    </row>
    <row r="6" spans="1:11" x14ac:dyDescent="0.3">
      <c r="A6" s="1">
        <v>6</v>
      </c>
      <c r="B6" s="1">
        <v>1248</v>
      </c>
      <c r="G6" s="1">
        <v>1.7</v>
      </c>
      <c r="H6" s="1">
        <v>141</v>
      </c>
      <c r="I6" s="3">
        <f t="shared" si="0"/>
        <v>0</v>
      </c>
      <c r="J6" s="3">
        <f t="shared" si="1"/>
        <v>0</v>
      </c>
      <c r="K6">
        <f t="shared" si="2"/>
        <v>0</v>
      </c>
    </row>
    <row r="7" spans="1:11" x14ac:dyDescent="0.3">
      <c r="A7" s="1">
        <v>2.2999999999999998</v>
      </c>
      <c r="B7" s="1">
        <v>45</v>
      </c>
      <c r="G7" s="1">
        <v>1.2</v>
      </c>
      <c r="H7" s="1">
        <v>126</v>
      </c>
      <c r="I7" s="3">
        <f t="shared" si="0"/>
        <v>0</v>
      </c>
      <c r="J7" s="3">
        <f t="shared" si="1"/>
        <v>0</v>
      </c>
      <c r="K7">
        <f t="shared" si="2"/>
        <v>0</v>
      </c>
    </row>
    <row r="8" spans="1:11" x14ac:dyDescent="0.3">
      <c r="A8" s="1">
        <v>0.8</v>
      </c>
      <c r="B8" s="1">
        <v>385</v>
      </c>
      <c r="G8" s="1">
        <v>4</v>
      </c>
      <c r="H8" s="1">
        <v>126</v>
      </c>
      <c r="I8" s="3">
        <f t="shared" si="0"/>
        <v>0</v>
      </c>
      <c r="J8" s="3">
        <f t="shared" si="1"/>
        <v>0</v>
      </c>
      <c r="K8">
        <f t="shared" si="2"/>
        <v>0</v>
      </c>
    </row>
    <row r="9" spans="1:11" x14ac:dyDescent="0.3">
      <c r="A9" s="1">
        <v>11</v>
      </c>
      <c r="B9" s="1">
        <v>238</v>
      </c>
      <c r="G9" s="1">
        <v>3</v>
      </c>
      <c r="H9" s="1">
        <v>117</v>
      </c>
      <c r="I9" s="3">
        <f t="shared" si="0"/>
        <v>0</v>
      </c>
      <c r="J9" s="3">
        <f t="shared" si="1"/>
        <v>0</v>
      </c>
      <c r="K9">
        <f t="shared" si="2"/>
        <v>0</v>
      </c>
    </row>
    <row r="10" spans="1:11" x14ac:dyDescent="0.3">
      <c r="A10" s="1">
        <v>6.3</v>
      </c>
      <c r="B10" s="1">
        <v>72</v>
      </c>
      <c r="G10" s="1">
        <v>7.0000000000000007E-2</v>
      </c>
      <c r="H10" s="1">
        <v>93</v>
      </c>
      <c r="I10" s="3">
        <f t="shared" si="0"/>
        <v>1</v>
      </c>
      <c r="J10" s="3">
        <f t="shared" si="1"/>
        <v>1</v>
      </c>
      <c r="K10">
        <f t="shared" si="2"/>
        <v>1</v>
      </c>
    </row>
    <row r="11" spans="1:11" x14ac:dyDescent="0.3">
      <c r="A11" s="1">
        <v>7.0000000000000007E-2</v>
      </c>
      <c r="B11" s="1">
        <v>93</v>
      </c>
      <c r="G11" s="1">
        <v>6.3</v>
      </c>
      <c r="H11" s="1">
        <v>72</v>
      </c>
      <c r="I11" s="3">
        <f t="shared" si="0"/>
        <v>1</v>
      </c>
      <c r="J11" s="3">
        <f t="shared" si="1"/>
        <v>0</v>
      </c>
      <c r="K11">
        <f t="shared" si="2"/>
        <v>0</v>
      </c>
    </row>
    <row r="12" spans="1:11" x14ac:dyDescent="0.3">
      <c r="A12" s="1">
        <v>0.05</v>
      </c>
      <c r="B12" s="1">
        <v>20</v>
      </c>
      <c r="G12" s="1">
        <v>0.1</v>
      </c>
      <c r="H12" s="1">
        <v>65</v>
      </c>
      <c r="I12" s="3">
        <f t="shared" si="0"/>
        <v>1</v>
      </c>
      <c r="J12" s="3">
        <f t="shared" si="1"/>
        <v>1</v>
      </c>
      <c r="K12">
        <f t="shared" si="2"/>
        <v>1</v>
      </c>
    </row>
    <row r="13" spans="1:11" x14ac:dyDescent="0.3">
      <c r="A13" s="1">
        <v>4</v>
      </c>
      <c r="B13" s="1">
        <v>126</v>
      </c>
      <c r="G13" s="1">
        <v>2.2999999999999998</v>
      </c>
      <c r="H13" s="1">
        <v>45</v>
      </c>
      <c r="I13" s="3">
        <f t="shared" si="0"/>
        <v>1</v>
      </c>
      <c r="J13" s="3">
        <f t="shared" si="1"/>
        <v>0</v>
      </c>
      <c r="K13">
        <f t="shared" si="2"/>
        <v>0</v>
      </c>
    </row>
    <row r="14" spans="1:11" x14ac:dyDescent="0.3">
      <c r="A14" s="1">
        <v>2.8</v>
      </c>
      <c r="B14" s="1">
        <v>255</v>
      </c>
      <c r="G14" s="1">
        <v>1.1000000000000001</v>
      </c>
      <c r="H14" s="1">
        <v>37</v>
      </c>
      <c r="I14" s="3">
        <f t="shared" si="0"/>
        <v>1</v>
      </c>
      <c r="J14" s="3">
        <f t="shared" si="1"/>
        <v>0</v>
      </c>
      <c r="K14">
        <f t="shared" si="2"/>
        <v>0</v>
      </c>
    </row>
    <row r="15" spans="1:11" x14ac:dyDescent="0.3">
      <c r="A15" s="1">
        <v>0.7</v>
      </c>
      <c r="B15" s="1">
        <v>27</v>
      </c>
      <c r="G15" s="1">
        <v>0.05</v>
      </c>
      <c r="H15" s="1">
        <v>32</v>
      </c>
      <c r="I15" s="3">
        <f t="shared" si="0"/>
        <v>1</v>
      </c>
      <c r="J15" s="3">
        <f t="shared" si="1"/>
        <v>1</v>
      </c>
      <c r="K15">
        <f t="shared" si="2"/>
        <v>1</v>
      </c>
    </row>
    <row r="16" spans="1:11" x14ac:dyDescent="0.3">
      <c r="A16" s="1">
        <v>0.09</v>
      </c>
      <c r="B16" s="1">
        <v>20</v>
      </c>
      <c r="G16" s="1">
        <v>0.7</v>
      </c>
      <c r="H16" s="1">
        <v>27</v>
      </c>
      <c r="I16" s="3">
        <f t="shared" si="0"/>
        <v>1</v>
      </c>
      <c r="J16" s="3">
        <f t="shared" si="1"/>
        <v>0</v>
      </c>
      <c r="K16">
        <f t="shared" si="2"/>
        <v>0</v>
      </c>
    </row>
    <row r="17" spans="1:11" x14ac:dyDescent="0.3">
      <c r="A17" s="1">
        <v>7.0000000000000007E-2</v>
      </c>
      <c r="B17" s="1">
        <v>23</v>
      </c>
      <c r="G17" s="1">
        <v>7.0000000000000007E-2</v>
      </c>
      <c r="H17" s="1">
        <v>23</v>
      </c>
      <c r="I17" s="3">
        <f t="shared" si="0"/>
        <v>1</v>
      </c>
      <c r="J17" s="3">
        <f t="shared" si="1"/>
        <v>1</v>
      </c>
      <c r="K17">
        <f t="shared" si="2"/>
        <v>1</v>
      </c>
    </row>
    <row r="18" spans="1:11" x14ac:dyDescent="0.3">
      <c r="A18" s="1"/>
      <c r="B18" s="1">
        <v>20</v>
      </c>
      <c r="G18" s="1">
        <v>0.05</v>
      </c>
      <c r="H18" s="1">
        <v>20</v>
      </c>
      <c r="I18" s="3">
        <f t="shared" si="0"/>
        <v>1</v>
      </c>
      <c r="J18" s="3">
        <f t="shared" si="1"/>
        <v>1</v>
      </c>
      <c r="K18">
        <f t="shared" si="2"/>
        <v>1</v>
      </c>
    </row>
    <row r="19" spans="1:11" x14ac:dyDescent="0.3">
      <c r="A19" s="1"/>
      <c r="B19" s="1">
        <v>80</v>
      </c>
      <c r="G19" s="1">
        <v>0.09</v>
      </c>
      <c r="H19" s="1">
        <v>20</v>
      </c>
      <c r="I19" s="3">
        <f t="shared" si="0"/>
        <v>1</v>
      </c>
      <c r="J19" s="3">
        <f t="shared" si="1"/>
        <v>1</v>
      </c>
      <c r="K19">
        <f t="shared" si="2"/>
        <v>1</v>
      </c>
    </row>
    <row r="20" spans="1:11" x14ac:dyDescent="0.3">
      <c r="A20" s="1">
        <v>3</v>
      </c>
      <c r="B20" s="1">
        <v>117</v>
      </c>
      <c r="G20" s="1">
        <v>0.4</v>
      </c>
      <c r="H20" s="1">
        <v>20</v>
      </c>
      <c r="I20" s="3">
        <f t="shared" si="0"/>
        <v>1</v>
      </c>
      <c r="J20" s="3">
        <f t="shared" si="1"/>
        <v>1</v>
      </c>
      <c r="K20">
        <f t="shared" si="2"/>
        <v>1</v>
      </c>
    </row>
    <row r="21" spans="1:11" x14ac:dyDescent="0.3">
      <c r="A21" s="1">
        <v>0.1</v>
      </c>
      <c r="B21" s="1">
        <v>65</v>
      </c>
    </row>
    <row r="22" spans="1:11" x14ac:dyDescent="0.3">
      <c r="A22" s="1">
        <v>0.4</v>
      </c>
      <c r="B22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Data</vt:lpstr>
      <vt:lpstr>Subset</vt:lpstr>
      <vt:lpstr>Missing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Dinwiddie</dc:creator>
  <cp:lastModifiedBy>Matt Dinwiddie</cp:lastModifiedBy>
  <dcterms:created xsi:type="dcterms:W3CDTF">2015-06-05T18:17:20Z</dcterms:created>
  <dcterms:modified xsi:type="dcterms:W3CDTF">2025-02-14T00:04:49Z</dcterms:modified>
</cp:coreProperties>
</file>